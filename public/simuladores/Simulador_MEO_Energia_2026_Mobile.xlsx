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55da206f1c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ifa 2026" sheetId="28" r:id="R22c3fc86764b46a8"/>
    <x:sheet xmlns:r="http://schemas.openxmlformats.org/officeDocument/2006/relationships" name="Simples" sheetId="29" r:id="R91ada6f7fd034ef2"/>
    <x:sheet xmlns:r="http://schemas.openxmlformats.org/officeDocument/2006/relationships" name="Bi-Horaria" sheetId="30" r:id="Rf0a298c0da964ef0"/>
    <x:sheet xmlns:r="http://schemas.openxmlformats.org/officeDocument/2006/relationships" name="Tri-Horaria" sheetId="31" r:id="R20ff6025076846c6"/>
    <x:sheet xmlns:r="http://schemas.openxmlformats.org/officeDocument/2006/relationships" name="BTE" sheetId="35" r:id="Rad0a52b77604405c"/>
    <x:sheet xmlns:r="http://schemas.openxmlformats.org/officeDocument/2006/relationships" name="MT" sheetId="34" r:id="R06c3dd061ed34ffc"/>
    <x:sheet xmlns:r="http://schemas.openxmlformats.org/officeDocument/2006/relationships" name="Tarifa Dinamica" sheetId="32" r:id="R880c979698f74108"/>
    <x:sheet xmlns:r="http://schemas.openxmlformats.org/officeDocument/2006/relationships" name="MENU" sheetId="36" r:id="R0f388106d69d4e56"/>
  </x:sheets>
  <x:definedNames>
    <x:definedName name="bi">'Tarifa 2026'!$B$9:$B$16</x:definedName>
    <x:definedName name="Modo">'Tarifa 2026'!$S$9:$T$11</x:definedName>
    <x:definedName name="ModoPagamento">'Tarifa 2026'!$S$9:$S$11</x:definedName>
    <x:definedName name="MX">'Tarifa 2026'!$S$4:$S$6</x:definedName>
    <x:definedName name="Pagamento">'Tarifa 2026'!$S$9:$T$11</x:definedName>
    <x:definedName name="SN">'Tarifa 2026'!$R$4:$R$5</x:definedName>
    <x:definedName name="Tarifa">'Tarifa 2026'!$O$4:$O$7</x:definedName>
    <x:definedName name="tri">'Tarifa 2026'!$B$17:$B$19</x:definedName>
  </x:definedNames>
</x:workbook>
</file>

<file path=xl/sharedStrings.xml><?xml version="1.0" encoding="utf-8"?>
<x:sst xmlns:x="http://schemas.openxmlformats.org/spreadsheetml/2006/main">
  <x:si>
    <x:t xml:space="preserve">Tarifário Base (Cliente não MEO) - Jan/26</x:t>
  </x:si>
  <x:si>
    <x:t xml:space="preserve">Serviço</x:t>
  </x:si>
  <x:si>
    <x:t xml:space="preserve">Desconto (€)</x:t>
  </x:si>
  <x:si>
    <x:t xml:space="preserve">Pot. Contratada (kVA)</x:t>
  </x:si>
  <x:si>
    <x:t xml:space="preserve">Simples</x:t>
  </x:si>
  <x:si>
    <x:t xml:space="preserve">Bi-Horário</x:t>
  </x:si>
  <x:si>
    <x:t xml:space="preserve">Tri-Horário</x:t>
  </x:si>
  <x:si>
    <x:t xml:space="preserve">M5/M4</x:t>
  </x:si>
  <x:si>
    <x:t xml:space="preserve">Potência</x:t>
  </x:si>
  <x:si>
    <x:t xml:space="preserve">Energia</x:t>
  </x:si>
  <x:si>
    <x:t xml:space="preserve">Energia (€/kWh)</x:t>
  </x:si>
  <x:si>
    <x:t xml:space="preserve">M3/M2</x:t>
  </x:si>
  <x:si>
    <x:t xml:space="preserve">€/dia</x:t>
  </x:si>
  <x:si>
    <x:t xml:space="preserve">€/kWh</x:t>
  </x:si>
  <x:si>
    <x:t xml:space="preserve">Fora Vazio</x:t>
  </x:si>
  <x:si>
    <x:t xml:space="preserve">Vazio</x:t>
  </x:si>
  <x:si>
    <x:t xml:space="preserve">Ponta</x:t>
  </x:si>
  <x:si>
    <x:t xml:space="preserve">Cheias</x:t>
  </x:si>
  <x:si>
    <x:t xml:space="preserve">Outros</x:t>
  </x:si>
  <x:si>
    <x:t xml:space="preserve">Forma de Pagamento</x:t>
  </x:si>
  <x:si>
    <x:t xml:space="preserve">DDFE</x:t>
  </x:si>
  <x:si>
    <x:t xml:space="preserve">DDFP</x:t>
  </x:si>
  <x:si>
    <x:t xml:space="preserve">MBFP</x:t>
  </x:si>
  <x:si>
    <x:t xml:space="preserve">kVA</x:t>
  </x:si>
  <x:si>
    <x:t xml:space="preserve">Tarifa</x:t>
  </x:si>
  <x:si>
    <x:t xml:space="preserve">Consumo simples</x:t>
  </x:si>
  <x:si>
    <x:t xml:space="preserve">kW</x:t>
  </x:si>
  <x:si>
    <x:t xml:space="preserve">Nº Dias</x:t>
  </x:si>
  <x:si>
    <x:t xml:space="preserve">Atual</x:t>
  </x:si>
  <x:si>
    <x:t xml:space="preserve">MEO Energia</x:t>
  </x:si>
  <x:si>
    <x:t xml:space="preserve">Poupa?</x:t>
  </x:si>
  <x:si>
    <x:t xml:space="preserve">Taxa de Potência</x:t>
  </x:si>
  <x:si>
    <x:t xml:space="preserve">Energia simples</x:t>
  </x:si>
  <x:si>
    <x:t xml:space="preserve">Faturação mensal</x:t>
  </x:si>
  <x:si>
    <x:t xml:space="preserve">Variação</x:t>
  </x:si>
  <x:si>
    <x:t xml:space="preserve">Total</x:t>
  </x:si>
  <x:si>
    <x:t xml:space="preserve">BiHorario</x:t>
  </x:si>
  <x:si>
    <x:t xml:space="preserve">Consumo fora vazio</x:t>
  </x:si>
  <x:si>
    <x:t xml:space="preserve">kWh</x:t>
  </x:si>
  <x:si>
    <x:t xml:space="preserve">Consumo vazio</x:t>
  </x:si>
  <x:si>
    <x:t xml:space="preserve">Energia fora vazio</x:t>
  </x:si>
  <x:si>
    <x:t xml:space="preserve">Energia vazio</x:t>
  </x:si>
  <x:si>
    <x:t xml:space="preserve">Forma Pagamento</x:t>
  </x:si>
  <x:si>
    <x:t xml:space="preserve">Consumo Ponta</x:t>
  </x:si>
  <x:si>
    <x:t xml:space="preserve">Consumo Cheias</x:t>
  </x:si>
  <x:si>
    <x:t xml:space="preserve">Energia Ponta</x:t>
  </x:si>
  <x:si>
    <x:t xml:space="preserve">Energia Cheia</x:t>
  </x:si>
  <x:si>
    <x:t xml:space="preserve">Energia Vazio</x:t>
  </x:si>
  <x:si>
    <x:t xml:space="preserve">Energia Cheias</x:t>
  </x:si>
  <x:si>
    <x:t xml:space="preserve">BTE</x:t>
  </x:si>
  <x:si>
    <x:t xml:space="preserve">Esta proposta é válida até </x:t>
  </x:si>
  <x:si>
    <x:t xml:space="preserve">A MEO Energia só cobra energia consumida</x:t>
  </x:si>
  <x:si>
    <x:t xml:space="preserve">Acresce IVA à Taxa legal em vigor e outras taxas e impostos em vigor</x:t>
  </x:si>
  <x:si>
    <x:t xml:space="preserve">Fidelização de 12 meses</x:t>
  </x:si>
  <x:si>
    <x:t xml:space="preserve">Forma Pagamento e Fatura</x:t>
  </x:si>
  <x:si>
    <x:t xml:space="preserve">DD + FE</x:t>
  </x:si>
  <x:si>
    <x:t xml:space="preserve">Consumos</x:t>
  </x:si>
  <x:si>
    <x:r>
      <x:rPr>
        <x:b/>
        <x:sz val="1100"/>
        <x:color rgb="FF000000"/>
      </x:rPr>
      <x:t xml:space="preserve">Perdas</x:t>
    </x:r>
    <x:r>
      <x:rPr>
        <x:b/>
        <x:sz val="900"/>
        <x:color rgb="FF000000"/>
        <x:rFont val="Calibri"/>
        <x:family val="2"/>
        <x:scheme val="minor"/>
      </x:rPr>
      <x:t xml:space="preserve"> (caso aplicável)</x:t>
    </x:r>
  </x:si>
  <x:si>
    <x:t xml:space="preserve">Cheia</x:t>
  </x:si>
  <x:si>
    <x:t xml:space="preserve">Super Vazio</x:t>
  </x:si>
  <x:si>
    <x:t xml:space="preserve">Valor Atual</x:t>
  </x:si>
  <x:si>
    <x:t xml:space="preserve">Financiamento Tarifa Social</x:t>
  </x:si>
  <x:si>
    <x:t xml:space="preserve">MT</x:t>
  </x:si>
  <x:si>
    <x:t xml:space="preserve">Tarifa Dinâmica para Baixa Tensão Normal</x:t>
  </x:si>
  <x:si>
    <x:t xml:space="preserve">OMIE</x:t>
  </x:si>
  <x:si>
    <x:t xml:space="preserve">€/MWh</x:t>
  </x:si>
  <x:si>
    <x:t xml:space="preserve">P Energia = (OMIE + K)*(1+FP) + TAR</x:t>
  </x:si>
  <x:si>
    <x:t xml:space="preserve">K</x:t>
  </x:si>
  <x:si>
    <x:t xml:space="preserve">FP</x:t>
  </x:si>
  <x:si>
    <x:t xml:space="preserve">MEO?</x:t>
  </x:si>
  <x:si>
    <x:t xml:space="preserve">P Energia (€/kWh)</x:t>
  </x:si>
  <x:si>
    <x:t xml:space="preserve">Qual é melhor?</x:t>
  </x:si>
  <x:si>
    <x:t xml:space="preserve">Tarifa Dinâmica</x:t>
  </x:si>
  <x:si>
    <x:t xml:space="preserve">Tarifa Fixa M4e</x:t>
  </x:si>
  <x:si>
    <x:t xml:space="preserve">TAR</x:t>
  </x:si>
  <x:si>
    <x:t xml:space="preserve">Horário </x:t>
  </x:si>
  <x:si>
    <x:t xml:space="preserve">Fora de Vazio</x:t>
  </x:si>
  <x:si>
    <x:t xml:space="preserve">Cheio</x:t>
  </x:si>
</x:sst>
</file>

<file path=xl/styles.xml><?xml version="1.0" encoding="utf-8"?>
<x:styleSheet xmlns:x="http://schemas.openxmlformats.org/spreadsheetml/2006/main">
  <x:numFmts count="3">
    <x:numFmt numFmtId="164" formatCode="0.0000"/>
    <x:numFmt numFmtId="165" formatCode="#,##0.0000\ &quot;€&quot;"/>
    <x:numFmt numFmtId="166" formatCode="#,##0.00\ &quot;€&quot;"/>
  </x:numFmts>
  <x:fonts count="35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entury Gothic"/>
    </x:font>
    <x:font>
      <x:sz val="10"/>
      <x:name val="Arial"/>
    </x:font>
    <x:font>
      <x:b/>
      <x:sz val="11"/>
      <x:color theme="1"/>
      <x:name val="Calibri"/>
    </x:font>
    <x:font>
      <x:sz val="11"/>
      <x:color theme="0"/>
      <x:name val="Calibri"/>
    </x:font>
    <x:font>
      <x:b/>
      <x:sz val="10"/>
      <x:name val="Calibri"/>
    </x:font>
    <x:font>
      <x:b/>
      <x:sz val="10"/>
      <x:color theme="1"/>
      <x:name val="Calibri"/>
    </x:font>
    <x:font>
      <x:sz val="10"/>
      <x:name val="Calibri"/>
    </x:font>
    <x:font>
      <x:sz val="10"/>
      <x:color theme="1"/>
      <x:name val="Calibri"/>
    </x:font>
    <x:font>
      <x:b/>
      <x:sz val="12"/>
      <x:color theme="1"/>
      <x:name val="Calibri"/>
    </x:font>
    <x:font>
      <x:sz val="14"/>
      <x:color theme="1"/>
      <x:name val="Calibri"/>
    </x:font>
    <x:font>
      <x:sz val="14"/>
      <x:name val="Calibri"/>
    </x:font>
    <x:font>
      <x:sz val="22"/>
      <x:color theme="1"/>
      <x:name val="Calibri"/>
    </x:font>
    <x:font>
      <x:b/>
      <x:sz val="14"/>
      <x:color theme="1"/>
      <x:name val="Calibri"/>
    </x:font>
    <x:font>
      <x:b/>
      <x:sz val="22"/>
      <x:color theme="1"/>
      <x:name val="Calibri"/>
    </x:font>
    <x:font>
      <x:b/>
      <x:sz val="24"/>
      <x:color theme="1"/>
      <x:name val="Calibri"/>
    </x:font>
    <x:font>
      <x:b/>
      <x:sz val="26"/>
      <x:color theme="1"/>
      <x:name val="Calibri"/>
    </x:font>
    <x:font>
      <x:b/>
      <x:sz val="14"/>
      <x:color theme="0"/>
      <x:name val="Calibri"/>
    </x:font>
    <x:font>
      <x:sz val="11"/>
      <x:name val="Calibri"/>
    </x:font>
    <x:font>
      <x:sz val="8"/>
      <x:name val="Calibri"/>
    </x:font>
    <x:font>
      <x:b/>
      <x:sz val="9"/>
      <x:color theme="1"/>
      <x:name val="Calibri"/>
    </x:font>
    <x:font>
      <x:b/>
      <x:sz val="12"/>
      <x:color theme="1"/>
      <x:name val="Calibri"/>
    </x:font>
    <x:font>
      <x:sz val="24"/>
      <x:color theme="1"/>
      <x:name val="Calibri"/>
    </x:font>
    <x:font>
      <x:b/>
      <x:sz val="22"/>
      <x:color rgb="FFFFFFFF"/>
      <x:name val="Calibri"/>
    </x:font>
    <x:font>
      <x:b/>
      <x:sz val="11"/>
      <x:color rgb="FF164E8A"/>
      <x:name val="Calibri"/>
    </x:font>
    <x:font>
      <x:sz val="10"/>
      <x:color rgb="FF52606D"/>
      <x:name val="Calibri"/>
    </x:font>
    <x:font>
      <x:b/>
      <x:sz val="15"/>
      <x:color rgb="FF102A43"/>
      <x:name val="Calibri"/>
    </x:font>
    <x:font>
      <x:b/>
      <x:sz val="22"/>
      <x:color rgb="FFFFFFFF"/>
      <x:name val="Aptos"/>
    </x:font>
    <x:font>
      <x:b/>
      <x:sz val="11"/>
      <x:color rgb="FF164E8A"/>
      <x:name val="Aptos"/>
    </x:font>
    <x:font>
      <x:sz val="10"/>
      <x:color rgb="FF52606D"/>
      <x:name val="Aptos"/>
    </x:font>
    <x:font>
      <x:sz val="11"/>
      <x:color theme="1"/>
      <x:name val="Aptos"/>
    </x:font>
    <x:font>
      <x:b/>
      <x:sz val="15"/>
      <x:color rgb="FF102A43"/>
      <x:name val="Aptos"/>
    </x:font>
    <x:font>
      <x:b/>
      <x:sz val="10"/>
      <x:color rgb="FF0066CC"/>
      <x:name val="Calibri"/>
    </x:font>
    <x:font>
      <x:b/>
      <x:sz val="20"/>
      <x:color theme="1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9"/>
      </x:patternFill>
    </x:fill>
    <x:fill>
      <x:patternFill patternType="solid">
        <x:fgColor theme="0" tint="-0.15"/>
      </x:patternFill>
    </x:fill>
    <x:fill>
      <x:patternFill patternType="solid">
        <x:fgColor rgb="FF92D050"/>
      </x:patternFill>
    </x:fill>
    <x:fill>
      <x:patternFill patternType="solid">
        <x:fgColor theme="7" tint="0.79998"/>
      </x:patternFill>
    </x:fill>
    <x:fill>
      <x:patternFill patternType="solid">
        <x:fgColor rgb="FFFFFF00"/>
      </x:patternFill>
    </x:fill>
    <x:fill>
      <x:patternFill patternType="solid">
        <x:fgColor theme="9" tint="0.79998"/>
      </x:patternFill>
    </x:fill>
    <x:fill>
      <x:patternFill patternType="solid">
        <x:fgColor theme="8" tint="0.79998"/>
      </x:patternFill>
    </x:fill>
    <x:fill>
      <x:patternFill patternType="solid">
        <x:fgColor theme="9" tint="0.59999"/>
      </x:patternFill>
    </x:fill>
    <x:fill>
      <x:patternFill patternType="solid">
        <x:fgColor rgb="FF0066CC"/>
      </x:patternFill>
    </x:fill>
    <x:fill>
      <x:patternFill patternType="solid">
        <x:fgColor rgb="FFEAF3FF"/>
      </x:patternFill>
    </x:fill>
    <x:fill>
      <x:patternFill patternType="solid">
        <x:fgColor rgb="FFF8FAFC"/>
      </x:patternFill>
    </x:fill>
    <x:fill>
      <x:patternFill patternType="solid">
        <x:fgColor rgb="FF8FD14F"/>
      </x:patternFill>
    </x:fill>
    <x:fill>
      <x:patternFill patternType="solid">
        <x:fgColor rgb="FFFFFFFF"/>
      </x:patternFill>
    </x:fill>
    <x:fill>
      <x:patternFill patternType="solid">
        <x:fgColor rgb="FF76C7E8"/>
      </x:patternFill>
    </x:fill>
    <x:fill>
      <x:patternFill patternType="solid">
        <x:fgColor rgb="FFF8D34D"/>
      </x:patternFill>
    </x:fill>
    <x:fill>
      <x:patternFill patternType="solid">
        <x:fgColor rgb="FFB7D7A8"/>
      </x:patternFill>
    </x:fill>
    <x:fill>
      <x:patternFill patternType="solid">
        <x:fgColor rgb="FFA9C8E8"/>
      </x:patternFill>
    </x:fill>
    <x:fill>
      <x:patternFill patternType="solid">
        <x:fgColor rgb="FFD9EAD3"/>
      </x:patternFill>
    </x:fill>
    <x:fill>
      <x:patternFill patternType="solid">
        <x:fgColor rgb="FFE2E8F0"/>
      </x:patternFill>
    </x:fill>
  </x:fills>
  <x:borders count="5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left style="hair">
        <x:color indexed="64"/>
      </x:left>
      <x:right style="thin">
        <x:color indexed="64"/>
      </x:right>
      <x:top style="thin">
        <x:color indexed="64"/>
      </x:top>
    </x:border>
    <x:border>
      <x:left style="hair">
        <x:color indexed="64"/>
      </x:left>
      <x:right style="hair">
        <x:color indexed="64"/>
      </x:right>
      <x:top style="thin">
        <x:color indexed="64"/>
      </x:top>
    </x:border>
    <x:border>
      <x:bottom style="medium">
        <x:color indexed="64"/>
      </x:bottom>
    </x:border>
    <x:border>
      <x:top style="thin">
        <x:color auto="1"/>
      </x:top>
      <x:bottom style="thin">
        <x:color auto="1"/>
      </x:bottom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hair">
        <x:color indexed="64"/>
      </x:left>
      <x:right style="medium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thin">
        <x:color indexed="64"/>
      </x:right>
      <x:bottom style="medium">
        <x:color indexed="64"/>
      </x:bottom>
    </x:border>
    <x:border>
      <x:left style="hair">
        <x:color indexed="64"/>
      </x:left>
      <x:right style="hair">
        <x:color indexed="64"/>
      </x:right>
      <x:bottom style="medium">
        <x:color indexed="64"/>
      </x:bottom>
    </x:border>
    <x:border>
      <x:left style="hair">
        <x:color indexed="64"/>
      </x:left>
      <x:right style="medium">
        <x:color indexed="64"/>
      </x:right>
      <x:bottom style="medium">
        <x:color indexed="64"/>
      </x:bottom>
    </x:border>
    <x:border>
      <x:right style="hair">
        <x:color indexed="64"/>
      </x:right>
      <x:top style="thin">
        <x:color indexed="64"/>
      </x:top>
    </x:border>
    <x:border>
      <x:right style="hair">
        <x:color indexed="64"/>
      </x:right>
      <x:top style="hair">
        <x:color indexed="64"/>
      </x:top>
      <x:bottom style="hair">
        <x:color indexed="64"/>
      </x:bottom>
    </x:border>
    <x:border>
      <x:right style="hair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right style="thin">
        <x:color indexed="64"/>
      </x:right>
      <x:bottom style="medium">
        <x:color indexed="64"/>
      </x:bottom>
    </x:border>
    <x:border>
      <x:top style="hair">
        <x:color auto="1"/>
      </x:top>
      <x:bottom style="hair">
        <x:color auto="1"/>
      </x:bottom>
    </x:border>
    <x:border>
      <x:bottom style="hair">
        <x:color auto="1"/>
      </x:bottom>
    </x:border>
    <x:border>
      <x:top style="hair">
        <x:color auto="1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hair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hair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top style="dotted">
        <x:color auto="1"/>
      </x:top>
      <x:bottom style="dotted">
        <x:color auto="1"/>
      </x:bottom>
    </x:border>
    <x:border>
      <x:top style="dotted">
        <x:color auto="1"/>
      </x:top>
      <x:bottom style="medium">
        <x:color auto="1"/>
      </x:bottom>
    </x:border>
    <x:border>
      <x:left style="thin">
        <x:color rgb="FFAAB7C4"/>
      </x:left>
      <x:top style="thin">
        <x:color rgb="FFAAB7C4"/>
      </x:top>
      <x:bottom style="thin">
        <x:color rgb="FFAAB7C4"/>
      </x:bottom>
    </x:border>
    <x:border>
      <x:top style="thin">
        <x:color rgb="FFAAB7C4"/>
      </x:top>
      <x:bottom style="thin">
        <x:color rgb="FFAAB7C4"/>
      </x:bottom>
    </x:border>
    <x:border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2" fillId="0" borderId="0"/>
    <x:xf numFmtId="0" fontId="3" fillId="0" borderId="0"/>
  </x:cellStyleXfs>
  <x:cellXfs count="294"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horizontal="right" vertical="center"/>
    </x:xf>
    <x:xf numFmtId="0" fontId="4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6" xfId="0" applyBorder="1" applyAlignment="1">
      <x:alignment horizontal="right" vertical="center"/>
    </x:xf>
    <x:xf numFmtId="0" fontId="4" fillId="6" borderId="6" xfId="0" applyFont="1" applyFill="1" applyBorder="1" applyAlignment="1">
      <x:alignment horizontal="center" vertical="center"/>
    </x:xf>
    <x:xf numFmtId="0" fontId="4" fillId="6" borderId="6" xfId="0" applyFont="1" applyFill="1" applyBorder="1" applyAlignment="1">
      <x:alignment horizontal="right" vertical="center"/>
    </x:xf>
    <x:xf numFmtId="0" fontId="0" fillId="2" borderId="0" xfId="0" applyFill="1"/>
    <x:xf numFmtId="2" fontId="0" fillId="5" borderId="0" xfId="0" applyNumberFormat="1" applyFill="1" applyAlignment="1">
      <x:alignment horizontal="center" vertical="center"/>
    </x:xf>
    <x:xf numFmtId="165" fontId="0" fillId="5" borderId="0" xfId="0" applyNumberFormat="1" applyFill="1" applyAlignment="1">
      <x:alignment horizontal="center" vertical="center"/>
    </x:xf>
    <x:xf numFmtId="0" fontId="6" fillId="0" borderId="1" xfId="2" applyFont="1" applyBorder="1" applyAlignment="1">
      <x:alignment horizontal="center" vertical="center" wrapText="1"/>
    </x:xf>
    <x:xf numFmtId="0" fontId="8" fillId="0" borderId="1" xfId="2" applyFont="1" applyBorder="1" applyAlignment="1">
      <x:alignment horizontal="center" vertical="center" wrapText="1"/>
    </x:xf>
    <x:xf numFmtId="0" fontId="0" fillId="2" borderId="0" xfId="0" applyFill="1" applyAlignment="1">
      <x:alignment vertical="center"/>
    </x:xf>
    <x:xf numFmtId="164" fontId="9" fillId="4" borderId="12" xfId="2" applyNumberFormat="1" applyFont="1" applyFill="1" applyBorder="1" applyAlignment="1">
      <x:alignment horizontal="center" vertical="center"/>
    </x:xf>
    <x:xf numFmtId="164" fontId="9" fillId="4" borderId="13" xfId="2" applyNumberFormat="1" applyFont="1" applyFill="1" applyBorder="1" applyAlignment="1">
      <x:alignment horizontal="center" vertical="center"/>
    </x:xf>
    <x:xf numFmtId="164" fontId="9" fillId="4" borderId="22" xfId="2" applyNumberFormat="1" applyFont="1" applyFill="1" applyBorder="1" applyAlignment="1">
      <x:alignment horizontal="center" vertical="center"/>
    </x:xf>
    <x:xf numFmtId="164" fontId="9" fillId="4" borderId="24" xfId="2" applyNumberFormat="1" applyFont="1" applyFill="1" applyBorder="1" applyAlignment="1">
      <x:alignment horizontal="center" vertical="center"/>
    </x:xf>
    <x:xf numFmtId="164" fontId="9" fillId="4" borderId="25" xfId="2" applyNumberFormat="1" applyFont="1" applyFill="1" applyBorder="1" applyAlignment="1">
      <x:alignment horizontal="center" vertical="center"/>
    </x:xf>
    <x:xf numFmtId="2" fontId="9" fillId="2" borderId="19" xfId="2" applyNumberFormat="1" applyFont="1" applyFill="1" applyBorder="1" applyAlignment="1">
      <x:alignment horizontal="center" vertical="center"/>
    </x:xf>
    <x:xf numFmtId="2" fontId="9" fillId="2" borderId="21" xfId="2" applyNumberFormat="1" applyFont="1" applyFill="1" applyBorder="1" applyAlignment="1">
      <x:alignment horizontal="center" vertical="center"/>
    </x:xf>
    <x:xf numFmtId="2" fontId="9" fillId="2" borderId="9" xfId="2" applyNumberFormat="1" applyFont="1" applyFill="1" applyBorder="1" applyAlignment="1">
      <x:alignment horizontal="center" vertical="center"/>
    </x:xf>
    <x:xf numFmtId="0" fontId="8" fillId="0" borderId="1" xfId="2" applyFont="1" applyBorder="1" applyAlignment="1">
      <x:alignment horizontal="center" vertical="center"/>
    </x:xf>
    <x:xf numFmtId="0" fontId="8" fillId="0" borderId="18" xfId="2" applyFont="1" applyBorder="1" applyAlignment="1">
      <x:alignment horizontal="center" vertical="center"/>
    </x:xf>
    <x:xf numFmtId="164" fontId="9" fillId="4" borderId="27" xfId="2" applyNumberFormat="1" applyFont="1" applyFill="1" applyBorder="1" applyAlignment="1">
      <x:alignment horizontal="center" vertical="center"/>
    </x:xf>
    <x:xf numFmtId="164" fontId="9" fillId="4" borderId="28" xfId="2" applyNumberFormat="1" applyFont="1" applyFill="1" applyBorder="1" applyAlignment="1">
      <x:alignment horizontal="center" vertical="center"/>
    </x:xf>
    <x:xf numFmtId="164" fontId="9" fillId="4" borderId="11" xfId="2" applyNumberFormat="1" applyFont="1" applyFill="1" applyBorder="1" applyAlignment="1">
      <x:alignment horizontal="center" vertical="center"/>
    </x:xf>
    <x:xf numFmtId="164" fontId="9" fillId="4" borderId="30" xfId="2" applyNumberFormat="1" applyFont="1" applyFill="1" applyBorder="1" applyAlignment="1">
      <x:alignment horizontal="center" vertical="center"/>
    </x:xf>
    <x:xf numFmtId="0" fontId="8" fillId="0" borderId="31" xfId="2" applyFont="1" applyBorder="1" applyAlignment="1">
      <x:alignment horizontal="center" vertical="center"/>
    </x:xf>
    <x:xf numFmtId="164" fontId="9" fillId="0" borderId="11" xfId="2" applyNumberFormat="1" applyFont="1" applyBorder="1" applyAlignment="1">
      <x:alignment horizontal="center" vertical="center"/>
    </x:xf>
    <x:xf numFmtId="164" fontId="9" fillId="0" borderId="33" xfId="2" applyNumberFormat="1" applyFont="1" applyBorder="1" applyAlignment="1">
      <x:alignment horizontal="center" vertical="center"/>
    </x:xf>
    <x:xf numFmtId="164" fontId="9" fillId="0" borderId="27" xfId="2" applyNumberFormat="1" applyFont="1" applyBorder="1" applyAlignment="1">
      <x:alignment horizontal="center" vertical="center"/>
    </x:xf>
    <x:xf numFmtId="164" fontId="9" fillId="0" borderId="12" xfId="2" applyNumberFormat="1" applyFont="1" applyBorder="1" applyAlignment="1">
      <x:alignment horizontal="center" vertical="center"/>
    </x:xf>
    <x:xf numFmtId="164" fontId="9" fillId="0" borderId="30" xfId="2" applyNumberFormat="1" applyFont="1" applyBorder="1" applyAlignment="1">
      <x:alignment horizontal="center" vertical="center"/>
    </x:xf>
    <x:xf numFmtId="164" fontId="9" fillId="0" borderId="34" xfId="2" applyNumberFormat="1" applyFont="1" applyBorder="1" applyAlignment="1">
      <x:alignment horizontal="center" vertical="center"/>
    </x:xf>
    <x:xf numFmtId="164" fontId="9" fillId="0" borderId="28" xfId="2" applyNumberFormat="1" applyFont="1" applyBorder="1" applyAlignment="1">
      <x:alignment horizontal="center" vertical="center"/>
    </x:xf>
    <x:xf numFmtId="164" fontId="9" fillId="0" borderId="23" xfId="2" applyNumberFormat="1" applyFont="1" applyBorder="1" applyAlignment="1">
      <x:alignment horizontal="center" vertical="center"/>
    </x:xf>
    <x:xf numFmtId="164" fontId="9" fillId="0" borderId="29" xfId="2" applyNumberFormat="1" applyFont="1" applyBorder="1" applyAlignment="1">
      <x:alignment horizontal="center" vertical="center"/>
    </x:xf>
    <x:xf numFmtId="164" fontId="9" fillId="0" borderId="26" xfId="2" applyNumberFormat="1" applyFont="1" applyBorder="1" applyAlignment="1">
      <x:alignment horizontal="center" vertical="center"/>
    </x:xf>
    <x:xf numFmtId="164" fontId="9" fillId="0" borderId="4" xfId="2" applyNumberFormat="1" applyFont="1" applyBorder="1" applyAlignment="1">
      <x:alignment horizontal="center" vertical="center"/>
    </x:xf>
    <x:xf numFmtId="164" fontId="9" fillId="0" borderId="5" xfId="2" applyNumberFormat="1" applyFont="1" applyBorder="1" applyAlignment="1">
      <x:alignment horizontal="center" vertical="center"/>
    </x:xf>
    <x:xf numFmtId="164" fontId="9" fillId="0" borderId="20" xfId="2" applyNumberFormat="1" applyFont="1" applyBorder="1" applyAlignment="1">
      <x:alignment horizontal="center" vertical="center"/>
    </x:xf>
    <x:xf numFmtId="164" fontId="9" fillId="0" borderId="13" xfId="2" applyNumberFormat="1" applyFont="1" applyBorder="1" applyAlignment="1">
      <x:alignment horizontal="center" vertical="center"/>
    </x:xf>
    <x:xf numFmtId="164" fontId="9" fillId="0" borderId="22" xfId="2" applyNumberFormat="1" applyFont="1" applyBorder="1" applyAlignment="1">
      <x:alignment horizontal="center" vertical="center"/>
    </x:xf>
    <x:xf numFmtId="164" fontId="9" fillId="8" borderId="29" xfId="2" applyNumberFormat="1" applyFont="1" applyFill="1" applyBorder="1" applyAlignment="1">
      <x:alignment horizontal="center" vertical="center"/>
    </x:xf>
    <x:xf numFmtId="164" fontId="9" fillId="8" borderId="32" xfId="2" applyNumberFormat="1" applyFont="1" applyFill="1" applyBorder="1" applyAlignment="1">
      <x:alignment horizontal="center" vertical="center"/>
    </x:xf>
    <x:xf numFmtId="164" fontId="9" fillId="8" borderId="11" xfId="2" applyNumberFormat="1" applyFont="1" applyFill="1" applyBorder="1" applyAlignment="1">
      <x:alignment horizontal="center" vertical="center"/>
    </x:xf>
    <x:xf numFmtId="164" fontId="9" fillId="8" borderId="33" xfId="2" applyNumberFormat="1" applyFont="1" applyFill="1" applyBorder="1" applyAlignment="1">
      <x:alignment horizontal="center" vertical="center"/>
    </x:xf>
    <x:xf numFmtId="165" fontId="0" fillId="0" borderId="0" xfId="0" applyNumberFormat="1" applyAlignment="1">
      <x:alignment horizontal="center" vertical="center"/>
    </x:xf>
    <x:xf numFmtId="166" fontId="0" fillId="0" borderId="0" xfId="0" applyNumberFormat="1" applyAlignment="1">
      <x:alignment horizontal="center" vertical="center"/>
    </x:xf>
    <x:xf numFmtId="3" fontId="0" fillId="5" borderId="0" xfId="0" applyNumberFormat="1" applyFill="1" applyAlignment="1">
      <x:alignment horizontal="center" vertical="center"/>
    </x:xf>
    <x:xf numFmtId="0" fontId="4" fillId="0" borderId="0" xfId="0" applyFont="1" applyAlignment="1">
      <x:alignment horizontal="right" vertical="center"/>
    </x:xf>
    <x:xf numFmtId="166" fontId="4" fillId="0" borderId="0" xfId="0" applyNumberFormat="1" applyFont="1" applyAlignment="1">
      <x:alignment horizontal="center" vertical="center"/>
    </x:xf>
    <x:xf numFmtId="166" fontId="0" fillId="0" borderId="6" xfId="0" applyNumberFormat="1" applyBorder="1" applyAlignment="1">
      <x:alignment horizontal="center" vertical="center"/>
    </x:xf>
    <x:xf numFmtId="0" fontId="5" fillId="2" borderId="0" xfId="0" applyFont="1" applyFill="1" applyAlignment="1">
      <x:alignment horizontal="center"/>
    </x:xf>
    <x:xf numFmtId="0" fontId="0" fillId="0" borderId="35" xfId="0" applyBorder="1" applyAlignment="1">
      <x:alignment horizontal="right" vertical="center"/>
    </x:xf>
    <x:xf numFmtId="166" fontId="0" fillId="0" borderId="35" xfId="0" applyNumberFormat="1" applyBorder="1" applyAlignment="1">
      <x:alignment horizontal="center" vertical="center"/>
    </x:xf>
    <x:xf numFmtId="0" fontId="0" fillId="0" borderId="36" xfId="0" applyBorder="1" applyAlignment="1">
      <x:alignment horizontal="right" vertical="center"/>
    </x:xf>
    <x:xf numFmtId="0" fontId="0" fillId="0" borderId="35" xfId="0" applyBorder="1" applyAlignment="1">
      <x:alignment vertical="center"/>
    </x:xf>
    <x:xf numFmtId="0" fontId="0" fillId="0" borderId="37" xfId="0" applyBorder="1" applyAlignment="1">
      <x:alignment vertical="center"/>
    </x:xf>
    <x:xf numFmtId="0" fontId="0" fillId="0" borderId="36" xfId="0" applyBorder="1" applyAlignment="1">
      <x:alignment vertical="center"/>
    </x:xf>
    <x:xf numFmtId="0" fontId="10" fillId="9" borderId="6" xfId="0" applyFont="1" applyFill="1" applyBorder="1" applyAlignment="1">
      <x:alignment horizontal="center" vertical="center"/>
    </x:xf>
    <x:xf numFmtId="0" fontId="0" fillId="0" borderId="38" xfId="0" applyBorder="1" applyAlignment="1">
      <x:alignment horizontal="center" vertical="center"/>
    </x:xf>
    <x:xf numFmtId="0" fontId="0" fillId="0" borderId="38" xfId="0" applyBorder="1" applyAlignment="1">
      <x:alignment vertical="center"/>
    </x:xf>
    <x:xf numFmtId="0" fontId="0" fillId="0" borderId="6" xfId="0" applyBorder="1" applyAlignment="1">
      <x:alignment vertical="center"/>
    </x:xf>
    <x:xf numFmtId="0" fontId="4" fillId="6" borderId="0" xfId="0" applyFont="1" applyFill="1" applyAlignment="1">
      <x:alignment horizontal="center" vertical="center"/>
    </x:xf>
    <x:xf numFmtId="0" fontId="4" fillId="6" borderId="38" xfId="0" applyFont="1" applyFill="1" applyBorder="1" applyAlignment="1">
      <x:alignment horizontal="center" vertical="center"/>
    </x:xf>
    <x:xf numFmtId="0" fontId="0" fillId="0" borderId="39" xfId="0" applyBorder="1" applyAlignment="1">
      <x:alignment vertical="center"/>
    </x:xf>
    <x:xf numFmtId="0" fontId="4" fillId="6" borderId="39" xfId="0" applyFont="1" applyFill="1" applyBorder="1" applyAlignment="1">
      <x:alignment horizontal="center" vertical="center"/>
    </x:xf>
    <x:xf numFmtId="0" fontId="4" fillId="6" borderId="35" xfId="0" applyFont="1" applyFill="1" applyBorder="1" applyAlignment="1">
      <x:alignment horizontal="center" vertical="center"/>
    </x:xf>
    <x:xf numFmtId="0" fontId="4" fillId="9" borderId="41" xfId="0" applyFont="1" applyFill="1" applyBorder="1" applyAlignment="1">
      <x:alignment horizontal="center" vertical="center"/>
    </x:xf>
    <x:xf numFmtId="0" fontId="4" fillId="9" borderId="42" xfId="0" applyFont="1" applyFill="1" applyBorder="1" applyAlignment="1">
      <x:alignment horizontal="center" vertical="center"/>
    </x:xf>
    <x:xf numFmtId="164" fontId="4" fillId="6" borderId="43" xfId="0" applyNumberFormat="1" applyFont="1" applyFill="1" applyBorder="1" applyAlignment="1">
      <x:alignment horizontal="center" vertical="center"/>
    </x:xf>
    <x:xf numFmtId="0" fontId="4" fillId="6" borderId="44" xfId="0" applyFont="1" applyFill="1" applyBorder="1" applyAlignment="1">
      <x:alignment horizontal="center" vertical="center"/>
    </x:xf>
    <x:xf numFmtId="164" fontId="4" fillId="6" borderId="45" xfId="0" applyNumberFormat="1" applyFont="1" applyFill="1" applyBorder="1" applyAlignment="1">
      <x:alignment horizontal="center" vertical="center"/>
    </x:xf>
    <x:xf numFmtId="0" fontId="4" fillId="6" borderId="46" xfId="0" applyFont="1" applyFill="1" applyBorder="1" applyAlignment="1">
      <x:alignment horizontal="center" vertical="center"/>
    </x:xf>
    <x:xf numFmtId="164" fontId="4" fillId="6" borderId="40" xfId="0" applyNumberFormat="1" applyFont="1" applyFill="1" applyBorder="1" applyAlignment="1">
      <x:alignment horizontal="center" vertical="center"/>
    </x:xf>
    <x:xf numFmtId="0" fontId="4" fillId="6" borderId="30" xfId="0" applyFont="1" applyFill="1" applyBorder="1" applyAlignment="1">
      <x:alignment horizontal="center" vertical="center"/>
    </x:xf>
    <x:xf numFmtId="164" fontId="4" fillId="6" borderId="41" xfId="0" applyNumberFormat="1" applyFont="1" applyFill="1" applyBorder="1" applyAlignment="1">
      <x:alignment horizontal="center" vertical="center"/>
    </x:xf>
    <x:xf numFmtId="0" fontId="4" fillId="6" borderId="42" xfId="0" applyFont="1" applyFill="1" applyBorder="1" applyAlignment="1">
      <x:alignment horizontal="center" vertical="center"/>
    </x:xf>
    <x:xf numFmtId="164" fontId="4" fillId="6" borderId="21" xfId="0" applyNumberFormat="1" applyFont="1" applyFill="1" applyBorder="1" applyAlignment="1">
      <x:alignment horizontal="center" vertical="center"/>
    </x:xf>
    <x:xf numFmtId="0" fontId="4" fillId="6" borderId="11" xfId="0" applyFont="1" applyFill="1" applyBorder="1" applyAlignment="1">
      <x:alignment horizontal="center" vertical="center"/>
    </x:xf>
    <x:xf numFmtId="0" fontId="13" fillId="0" borderId="0" xfId="0" applyFont="1" applyAlignment="1">
      <x:alignment vertical="center"/>
    </x:xf>
    <x:xf numFmtId="0" fontId="12" fillId="5" borderId="7" xfId="0" applyFont="1" applyFill="1" applyBorder="1" applyAlignment="1">
      <x:alignment vertical="center"/>
    </x:xf>
    <x:xf numFmtId="0" fontId="11" fillId="0" borderId="7" xfId="0" applyFont="1" applyBorder="1" applyAlignment="1">
      <x:alignment vertical="center"/>
    </x:xf>
    <x:xf numFmtId="9" fontId="11" fillId="0" borderId="7" xfId="0" applyNumberFormat="1" applyFont="1" applyBorder="1" applyAlignment="1">
      <x:alignment vertical="center"/>
    </x:xf>
    <x:xf numFmtId="0" fontId="0" fillId="0" borderId="7" xfId="0" applyBorder="1" applyAlignment="1">
      <x:alignment vertical="center"/>
    </x:xf>
    <x:xf numFmtId="0" fontId="14" fillId="0" borderId="7" xfId="0" applyFont="1" applyBorder="1" applyAlignment="1">
      <x:alignment horizontal="right" vertical="center"/>
    </x:xf>
    <x:xf numFmtId="0" fontId="18" fillId="0" borderId="0" xfId="0" applyFont="1" applyAlignment="1">
      <x:alignment horizontal="right" vertical="center"/>
    </x:xf>
    <x:xf numFmtId="0" fontId="0" fillId="5" borderId="0" xfId="0" applyFill="1" applyAlignment="1">
      <x:alignment horizontal="center" vertical="center"/>
    </x:xf>
    <x:xf numFmtId="0" fontId="5" fillId="2" borderId="0" xfId="0" applyFont="1" applyFill="1"/>
    <x:xf numFmtId="2" fontId="5" fillId="2" borderId="0" xfId="0" applyNumberFormat="1" applyFont="1" applyFill="1" applyAlignment="1">
      <x:alignment horizontal="center"/>
    </x:xf>
    <x:xf numFmtId="164" fontId="5" fillId="2" borderId="0" xfId="1" applyNumberFormat="1" applyFont="1" applyFill="1" applyBorder="1" applyAlignment="1">
      <x:alignment vertical="center"/>
    </x:xf>
    <x:xf numFmtId="0" fontId="10" fillId="0" borderId="0" xfId="0" applyFont="1" applyAlignment="1">
      <x:alignment horizontal="center" vertical="center"/>
    </x:xf>
    <x:xf numFmtId="15" fontId="5" fillId="0" borderId="0" xfId="0" applyNumberFormat="1" applyFont="1" applyAlignment="1">
      <x:alignment vertical="center"/>
    </x:xf>
    <x:xf numFmtId="0" fontId="4" fillId="0" borderId="0" xfId="0" applyFont="1" applyAlignment="1">
      <x:alignment horizontal="right" vertical="center" wrapText="1"/>
    </x:xf>
    <x:xf numFmtId="0" fontId="0" fillId="0" borderId="8" xfId="0" applyBorder="1" applyAlignment="1">
      <x:alignment vertical="center"/>
    </x:xf>
    <x:xf numFmtId="0" fontId="19" fillId="2" borderId="0" xfId="0" applyFont="1" applyFill="1"/>
    <x:xf numFmtId="164" fontId="19" fillId="2" borderId="0" xfId="1" applyNumberFormat="1" applyFont="1" applyFill="1" applyBorder="1"/>
    <x:xf numFmtId="9" fontId="19" fillId="2" borderId="0" xfId="1" applyFont="1" applyFill="1" applyBorder="1" applyAlignment="1">
      <x:alignment vertical="center"/>
    </x:xf>
    <x:xf numFmtId="0" fontId="19" fillId="2" borderId="0" xfId="0" applyFont="1" applyFill="1" applyAlignment="1">
      <x:alignment vertical="center"/>
    </x:xf>
    <x:xf numFmtId="164" fontId="20" fillId="2" borderId="0" xfId="2" applyNumberFormat="1" applyFont="1" applyFill="1" applyAlignment="1">
      <x:alignment horizontal="center" vertical="center"/>
    </x:xf>
    <x:xf numFmtId="164" fontId="19" fillId="2" borderId="0" xfId="0" applyNumberFormat="1" applyFont="1" applyFill="1" applyAlignment="1">
      <x:alignment vertical="center"/>
    </x:xf>
    <x:xf numFmtId="10" fontId="19" fillId="2" borderId="0" xfId="0" applyNumberFormat="1" applyFont="1" applyFill="1" applyAlignment="1">
      <x:alignment vertical="center"/>
    </x:xf>
    <x:xf numFmtId="164" fontId="20" fillId="2" borderId="0" xfId="2" applyNumberFormat="1" applyFont="1" applyFill="1" applyAlignment="1">
      <x:alignment horizontal="center"/>
    </x:xf>
    <x:xf numFmtId="164" fontId="19" fillId="2" borderId="0" xfId="0" applyNumberFormat="1" applyFont="1" applyFill="1"/>
    <x:xf numFmtId="10" fontId="19" fillId="2" borderId="0" xfId="1" applyNumberFormat="1" applyFont="1" applyFill="1" applyBorder="1"/>
    <x:xf numFmtId="0" fontId="0" fillId="0" borderId="49" xfId="0" applyBorder="1" applyAlignment="1">
      <x:alignment horizontal="right" vertical="center"/>
    </x:xf>
    <x:xf numFmtId="166" fontId="0" fillId="0" borderId="49" xfId="0" applyNumberFormat="1" applyBorder="1" applyAlignment="1">
      <x:alignment horizontal="center" vertical="center"/>
    </x:xf>
    <x:xf numFmtId="0" fontId="0" fillId="0" borderId="50" xfId="0" applyBorder="1" applyAlignment="1">
      <x:alignment horizontal="right" vertical="center"/>
    </x:xf>
    <x:xf numFmtId="166" fontId="0" fillId="0" borderId="50" xfId="0" applyNumberFormat="1" applyBorder="1" applyAlignment="1">
      <x:alignment horizontal="center" vertical="center"/>
    </x:xf>
    <x:xf numFmtId="0" fontId="5" fillId="2" borderId="0" xfId="0" applyFont="1" applyFill="1" applyAlignment="1">
      <x:alignment vertical="center"/>
    </x:xf>
    <x:xf numFmtId="166" fontId="0" fillId="5" borderId="6" xfId="0" applyNumberFormat="1" applyFill="1" applyBorder="1" applyAlignment="1">
      <x:alignment horizontal="center" vertical="center"/>
    </x:xf>
    <x:xf numFmtId="14" fontId="10" fillId="7" borderId="3" xfId="0" applyNumberFormat="1" applyFont="1" applyFill="1" applyBorder="1" applyAlignment="1">
      <x:alignment horizontal="center" vertical="center"/>
    </x:xf>
    <x:xf numFmtId="0" fontId="19" fillId="2" borderId="0" xfId="0" applyFont="1" applyFill="1" applyAlignment="1">
      <x:alignment horizontal="center"/>
    </x:xf>
    <x:xf numFmtId="164" fontId="19" fillId="2" borderId="0" xfId="1" applyNumberFormat="1" applyFont="1" applyFill="1" applyBorder="1" applyAlignment="1">
      <x:alignment vertical="center"/>
    </x:xf>
    <x:xf numFmtId="0" fontId="19" fillId="0" borderId="0" xfId="0" applyFont="1" applyAlignment="1">
      <x:alignment vertical="center"/>
    </x:xf>
    <x:xf numFmtId="1" fontId="0" fillId="5" borderId="0" xfId="0" applyNumberFormat="1" applyFill="1" applyAlignment="1">
      <x:alignment horizontal="center" vertical="center"/>
    </x:xf>
    <x:xf numFmtId="164" fontId="19" fillId="0" borderId="38" xfId="0" applyNumberFormat="1" applyFont="1" applyBorder="1" applyAlignment="1">
      <x:alignment vertical="center"/>
    </x:xf>
    <x:xf numFmtId="164" fontId="19" fillId="0" borderId="36" xfId="0" applyNumberFormat="1" applyFont="1" applyBorder="1" applyAlignment="1">
      <x:alignment vertical="center"/>
    </x:xf>
    <x:xf numFmtId="164" fontId="19" fillId="0" borderId="37" xfId="0" applyNumberFormat="1" applyFont="1" applyBorder="1" applyAlignment="1">
      <x:alignment vertical="center"/>
    </x:xf>
    <x:xf numFmtId="164" fontId="19" fillId="0" borderId="35" xfId="0" applyNumberFormat="1" applyFont="1" applyBorder="1" applyAlignment="1">
      <x:alignment vertical="center"/>
    </x:xf>
    <x:xf numFmtId="0" fontId="0" fillId="0" borderId="0" xfId="0" applyAlignment="1">
      <x:alignment horizontal="center" vertical="center"/>
    </x:xf>
    <x:xf numFmtId="0" fontId="16" fillId="7" borderId="0" xfId="0" applyFont="1" applyFill="1" applyAlignment="1">
      <x:alignment horizontal="center" vertical="center"/>
    </x:xf>
    <x:xf numFmtId="0" fontId="17" fillId="3" borderId="2" xfId="2" applyFont="1" applyFill="1" applyBorder="1" applyAlignment="1">
      <x:alignment horizontal="center" vertical="center"/>
    </x:xf>
    <x:xf numFmtId="0" fontId="17" fillId="3" borderId="3" xfId="2" applyFont="1" applyFill="1" applyBorder="1" applyAlignment="1">
      <x:alignment horizontal="center" vertical="center"/>
    </x:xf>
    <x:xf numFmtId="0" fontId="19" fillId="2" borderId="0" xfId="0" applyFont="1" applyFill="1" applyAlignment="1">
      <x:alignment horizontal="center"/>
    </x:xf>
    <x:xf numFmtId="0" fontId="6" fillId="0" borderId="14" xfId="2" applyFont="1" applyBorder="1" applyAlignment="1">
      <x:alignment horizontal="center" vertical="center" wrapText="1"/>
    </x:xf>
    <x:xf numFmtId="0" fontId="6" fillId="0" borderId="17" xfId="2" applyFont="1" applyBorder="1" applyAlignment="1">
      <x:alignment horizontal="center" vertical="center" wrapText="1"/>
    </x:xf>
    <x:xf numFmtId="0" fontId="6" fillId="0" borderId="15" xfId="2" applyFont="1" applyBorder="1" applyAlignment="1">
      <x:alignment horizontal="center" vertical="center" wrapText="1"/>
    </x:xf>
    <x:xf numFmtId="0" fontId="6" fillId="0" borderId="15" xfId="2" applyFont="1" applyBorder="1" applyAlignment="1">
      <x:alignment horizontal="center" vertical="center"/>
    </x:xf>
    <x:xf numFmtId="0" fontId="6" fillId="0" borderId="16" xfId="2" applyFont="1" applyBorder="1" applyAlignment="1">
      <x:alignment horizontal="center" vertical="center"/>
    </x:xf>
    <x:xf numFmtId="0" fontId="7" fillId="0" borderId="1" xfId="2" applyFont="1" applyBorder="1" applyAlignment="1">
      <x:alignment horizontal="center" vertical="center"/>
    </x:xf>
    <x:xf numFmtId="0" fontId="7" fillId="0" borderId="18" xfId="2" applyFont="1" applyBorder="1" applyAlignment="1">
      <x:alignment horizontal="center" vertical="center"/>
    </x:xf>
    <x:xf numFmtId="0" fontId="15" fillId="7" borderId="0" xfId="0" applyFont="1" applyFill="1" applyAlignment="1">
      <x:alignment horizontal="center" vertical="center"/>
    </x:xf>
    <x:xf numFmtId="0" fontId="15" fillId="10" borderId="0" xfId="0" applyFont="1" applyFill="1" applyAlignment="1">
      <x:alignment horizontal="center" vertical="center"/>
    </x:xf>
    <x:xf numFmtId="0" fontId="10" fillId="0" borderId="2" xfId="0" applyFont="1" applyBorder="1" applyAlignment="1">
      <x:alignment horizontal="right" vertical="center"/>
    </x:xf>
    <x:xf numFmtId="0" fontId="10" fillId="0" borderId="3" xfId="0" applyFont="1" applyBorder="1" applyAlignment="1">
      <x:alignment horizontal="right" vertical="center"/>
    </x:xf>
    <x:xf numFmtId="0" fontId="22" fillId="0" borderId="47" xfId="0" applyFont="1" applyBorder="1" applyAlignment="1">
      <x:alignment horizontal="left" vertical="center" wrapText="1"/>
    </x:xf>
    <x:xf numFmtId="0" fontId="22" fillId="0" borderId="0" xfId="0" applyFont="1" applyAlignment="1">
      <x:alignment horizontal="left" vertical="center" wrapText="1"/>
    </x:xf>
    <x:xf numFmtId="0" fontId="22" fillId="0" borderId="48" xfId="0" applyFont="1" applyBorder="1" applyAlignment="1">
      <x:alignment horizontal="left" vertical="center" wrapText="1"/>
    </x:xf>
    <x:xf numFmtId="0" fontId="10" fillId="0" borderId="47" xfId="0" applyFont="1" applyBorder="1" applyAlignment="1">
      <x:alignment horizontal="left" vertical="center" wrapText="1"/>
    </x:xf>
    <x:xf numFmtId="0" fontId="10" fillId="0" borderId="0" xfId="0" applyFont="1" applyAlignment="1">
      <x:alignment horizontal="left" vertical="center" wrapText="1"/>
    </x:xf>
    <x:xf numFmtId="0" fontId="10" fillId="0" borderId="48" xfId="0" applyFont="1" applyBorder="1" applyAlignment="1">
      <x:alignment horizontal="left" vertical="center" wrapText="1"/>
    </x:xf>
    <x:xf numFmtId="0" fontId="10" fillId="0" borderId="9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0" fillId="0" borderId="10" xfId="0" applyFont="1" applyBorder="1" applyAlignment="1">
      <x:alignment horizontal="left" vertical="center"/>
    </x:xf>
    <x:xf numFmtId="0" fontId="23" fillId="8" borderId="0" xfId="0" applyFont="1" applyFill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9" borderId="0" xfId="0" applyFont="1" applyFill="1" applyAlignment="1">
      <x:alignment horizontal="center" vertical="center" wrapText="1"/>
    </x:xf>
    <x:xf numFmtId="0" fontId="4" fillId="9" borderId="6" xfId="0" applyFont="1" applyFill="1" applyBorder="1" applyAlignment="1">
      <x:alignment horizontal="center" vertical="center" wrapText="1"/>
    </x:xf>
    <x:xf numFmtId="0" fontId="0" fillId="0" borderId="3" xfId="0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36" xfId="0" applyBorder="1" applyAlignment="1">
      <x:alignment horizontal="center" vertical="center"/>
    </x:xf>
    <x:xf numFmtId="0" fontId="0" fillId="0" borderId="37" xfId="0" applyBorder="1" applyAlignment="1">
      <x:alignment horizontal="center" vertical="center"/>
    </x:xf>
    <x:xf numFmtId="0" fontId="0" fillId="0" borderId="35" xfId="0" applyBorder="1" applyAlignment="1">
      <x:alignment horizontal="center" vertical="center"/>
    </x:xf>
    <x:xf numFmtId="0" fontId="10" fillId="9" borderId="6" xfId="0" applyFont="1" applyFill="1" applyBorder="1" applyAlignment="1">
      <x:alignment horizontal="center" vertical="center"/>
    </x:xf>
    <x:xf numFmtId="0" fontId="4" fillId="9" borderId="40" xfId="0" applyFont="1" applyFill="1" applyBorder="1" applyAlignment="1">
      <x:alignment horizontal="center" vertical="center"/>
    </x:xf>
    <x:xf numFmtId="0" fontId="4" fillId="9" borderId="30" xfId="0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4" fillId="11" borderId="0" xfId="0" applyNumberFormat="1" applyFont="1" applyFill="1" applyBorder="1"/>
    <x:xf numFmtId="0" fontId="24" fillId="11" borderId="0" xfId="0" applyNumberFormat="1" applyFont="1" applyFill="1" applyBorder="1" applyAlignment="1">
      <x:alignment horizontal="center"/>
    </x:xf>
    <x:xf numFmtId="0" fontId="24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25" fillId="12" borderId="0" xfId="0" applyNumberFormat="1" applyFont="1" applyFill="1" applyBorder="1"/>
    <x:xf numFmtId="0" fontId="25" fillId="12" borderId="0" xfId="0" applyNumberFormat="1" applyFont="1" applyFill="1" applyBorder="1" applyAlignment="1">
      <x:alignment horizontal="center"/>
    </x:xf>
    <x:xf numFmtId="0" fontId="25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26" fillId="13" borderId="0" xfId="0" applyNumberFormat="1" applyFont="1" applyFill="1" applyBorder="1"/>
    <x:xf numFmtId="0" fontId="26" fillId="13" borderId="0" xfId="0" applyNumberFormat="1" applyFont="1" applyFill="1" applyBorder="1" applyAlignment="1">
      <x:alignment wrapText="1"/>
    </x:xf>
    <x:xf numFmtId="0" fontId="26" fillId="13" borderId="0" xfId="0" applyNumberFormat="1" applyFont="1" applyFill="1" applyBorder="1" applyAlignment="1">
      <x:alignment horizontal="center" wrapText="1"/>
    </x:xf>
    <x:xf numFmtId="0" fontId="26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7" fillId="14" borderId="0" xfId="0" applyNumberFormat="1" applyFont="1" applyFill="1" applyBorder="1"/>
    <x:xf numFmtId="0" fontId="27" fillId="14" borderId="51" xfId="0" applyNumberFormat="1" applyFont="1" applyFill="1" applyBorder="1"/>
    <x:xf numFmtId="0" fontId="27" fillId="14" borderId="52" xfId="0" applyNumberFormat="1" applyFont="1" applyFill="1" applyBorder="1"/>
    <x:xf numFmtId="0" fontId="27" fillId="14" borderId="53" xfId="0" applyNumberFormat="1" applyFont="1" applyFill="1" applyBorder="1"/>
    <x:xf numFmtId="0" fontId="27" fillId="14" borderId="51" xfId="0" applyNumberFormat="1" applyFont="1" applyFill="1" applyBorder="1" applyAlignment="1">
      <x:alignment horizontal="center"/>
    </x:xf>
    <x:xf numFmtId="0" fontId="27" fillId="14" borderId="52" xfId="0" applyNumberFormat="1" applyFont="1" applyFill="1" applyBorder="1" applyAlignment="1">
      <x:alignment horizontal="center"/>
    </x:xf>
    <x:xf numFmtId="0" fontId="27" fillId="14" borderId="53" xfId="0" applyNumberFormat="1" applyFont="1" applyFill="1" applyBorder="1" applyAlignment="1">
      <x:alignment horizontal="center"/>
    </x:xf>
    <x:xf numFmtId="0" fontId="27" fillId="14" borderId="51" xfId="0" applyNumberFormat="1" applyFont="1" applyFill="1" applyBorder="1" applyAlignment="1">
      <x:alignment horizontal="center" vertical="center"/>
    </x:xf>
    <x:xf numFmtId="0" fontId="27" fillId="14" borderId="52" xfId="0" applyNumberFormat="1" applyFont="1" applyFill="1" applyBorder="1" applyAlignment="1">
      <x:alignment horizontal="center" vertical="center"/>
    </x:xf>
    <x:xf numFmtId="0" fontId="27" fillId="14" borderId="53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26" fillId="15" borderId="0" xfId="0" applyNumberFormat="1" applyFont="1" applyFill="1" applyBorder="1"/>
    <x:xf numFmtId="0" fontId="26" fillId="15" borderId="54" xfId="0" applyNumberFormat="1" applyFont="1" applyFill="1" applyBorder="1"/>
    <x:xf numFmtId="0" fontId="26" fillId="15" borderId="55" xfId="0" applyNumberFormat="1" applyFont="1" applyFill="1" applyBorder="1"/>
    <x:xf numFmtId="0" fontId="26" fillId="15" borderId="56" xfId="0" applyNumberFormat="1" applyFont="1" applyFill="1" applyBorder="1"/>
    <x:xf numFmtId="0" fontId="26" fillId="15" borderId="54" xfId="0" applyNumberFormat="1" applyFont="1" applyFill="1" applyBorder="1" applyAlignment="1">
      <x:alignment horizontal="center"/>
    </x:xf>
    <x:xf numFmtId="0" fontId="26" fillId="15" borderId="55" xfId="0" applyNumberFormat="1" applyFont="1" applyFill="1" applyBorder="1" applyAlignment="1">
      <x:alignment horizontal="center"/>
    </x:xf>
    <x:xf numFmtId="0" fontId="26" fillId="15" borderId="56" xfId="0" applyNumberFormat="1" applyFont="1" applyFill="1" applyBorder="1" applyAlignment="1">
      <x:alignment horizontal="center"/>
    </x:xf>
    <x:xf numFmtId="0" fontId="26" fillId="15" borderId="54" xfId="0" applyNumberFormat="1" applyFont="1" applyFill="1" applyBorder="1" applyAlignment="1">
      <x:alignment horizontal="center" vertical="center"/>
    </x:xf>
    <x:xf numFmtId="0" fontId="26" fillId="15" borderId="55" xfId="0" applyNumberFormat="1" applyFont="1" applyFill="1" applyBorder="1" applyAlignment="1">
      <x:alignment horizontal="center" vertical="center"/>
    </x:xf>
    <x:xf numFmtId="0" fontId="26" fillId="15" borderId="56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27" fillId="16" borderId="0" xfId="0" applyNumberFormat="1" applyFont="1" applyFill="1" applyBorder="1"/>
    <x:xf numFmtId="0" fontId="27" fillId="16" borderId="51" xfId="0" applyNumberFormat="1" applyFont="1" applyFill="1" applyBorder="1"/>
    <x:xf numFmtId="0" fontId="27" fillId="16" borderId="52" xfId="0" applyNumberFormat="1" applyFont="1" applyFill="1" applyBorder="1"/>
    <x:xf numFmtId="0" fontId="27" fillId="16" borderId="53" xfId="0" applyNumberFormat="1" applyFont="1" applyFill="1" applyBorder="1"/>
    <x:xf numFmtId="0" fontId="27" fillId="16" borderId="51" xfId="0" applyNumberFormat="1" applyFont="1" applyFill="1" applyBorder="1" applyAlignment="1">
      <x:alignment horizontal="center"/>
    </x:xf>
    <x:xf numFmtId="0" fontId="27" fillId="16" borderId="52" xfId="0" applyNumberFormat="1" applyFont="1" applyFill="1" applyBorder="1" applyAlignment="1">
      <x:alignment horizontal="center"/>
    </x:xf>
    <x:xf numFmtId="0" fontId="27" fillId="16" borderId="53" xfId="0" applyNumberFormat="1" applyFont="1" applyFill="1" applyBorder="1" applyAlignment="1">
      <x:alignment horizontal="center"/>
    </x:xf>
    <x:xf numFmtId="0" fontId="27" fillId="16" borderId="51" xfId="0" applyNumberFormat="1" applyFont="1" applyFill="1" applyBorder="1" applyAlignment="1">
      <x:alignment horizontal="center" vertical="center"/>
    </x:xf>
    <x:xf numFmtId="0" fontId="27" fillId="16" borderId="52" xfId="0" applyNumberFormat="1" applyFont="1" applyFill="1" applyBorder="1" applyAlignment="1">
      <x:alignment horizontal="center" vertical="center"/>
    </x:xf>
    <x:xf numFmtId="0" fontId="27" fillId="16" borderId="53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7" fillId="17" borderId="0" xfId="0" applyNumberFormat="1" applyFont="1" applyFill="1" applyBorder="1"/>
    <x:xf numFmtId="0" fontId="27" fillId="17" borderId="51" xfId="0" applyNumberFormat="1" applyFont="1" applyFill="1" applyBorder="1"/>
    <x:xf numFmtId="0" fontId="27" fillId="17" borderId="52" xfId="0" applyNumberFormat="1" applyFont="1" applyFill="1" applyBorder="1"/>
    <x:xf numFmtId="0" fontId="27" fillId="17" borderId="53" xfId="0" applyNumberFormat="1" applyFont="1" applyFill="1" applyBorder="1"/>
    <x:xf numFmtId="0" fontId="27" fillId="17" borderId="51" xfId="0" applyNumberFormat="1" applyFont="1" applyFill="1" applyBorder="1" applyAlignment="1">
      <x:alignment horizontal="center"/>
    </x:xf>
    <x:xf numFmtId="0" fontId="27" fillId="17" borderId="52" xfId="0" applyNumberFormat="1" applyFont="1" applyFill="1" applyBorder="1" applyAlignment="1">
      <x:alignment horizontal="center"/>
    </x:xf>
    <x:xf numFmtId="0" fontId="27" fillId="17" borderId="53" xfId="0" applyNumberFormat="1" applyFont="1" applyFill="1" applyBorder="1" applyAlignment="1">
      <x:alignment horizontal="center"/>
    </x:xf>
    <x:xf numFmtId="0" fontId="27" fillId="17" borderId="51" xfId="0" applyNumberFormat="1" applyFont="1" applyFill="1" applyBorder="1" applyAlignment="1">
      <x:alignment horizontal="center" vertical="center"/>
    </x:xf>
    <x:xf numFmtId="0" fontId="27" fillId="17" borderId="52" xfId="0" applyNumberFormat="1" applyFont="1" applyFill="1" applyBorder="1" applyAlignment="1">
      <x:alignment horizontal="center" vertical="center"/>
    </x:xf>
    <x:xf numFmtId="0" fontId="27" fillId="17" borderId="53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27" fillId="18" borderId="0" xfId="0" applyNumberFormat="1" applyFont="1" applyFill="1" applyBorder="1"/>
    <x:xf numFmtId="0" fontId="27" fillId="18" borderId="51" xfId="0" applyNumberFormat="1" applyFont="1" applyFill="1" applyBorder="1"/>
    <x:xf numFmtId="0" fontId="27" fillId="18" borderId="52" xfId="0" applyNumberFormat="1" applyFont="1" applyFill="1" applyBorder="1"/>
    <x:xf numFmtId="0" fontId="27" fillId="18" borderId="53" xfId="0" applyNumberFormat="1" applyFont="1" applyFill="1" applyBorder="1"/>
    <x:xf numFmtId="0" fontId="27" fillId="18" borderId="51" xfId="0" applyNumberFormat="1" applyFont="1" applyFill="1" applyBorder="1" applyAlignment="1">
      <x:alignment horizontal="center"/>
    </x:xf>
    <x:xf numFmtId="0" fontId="27" fillId="18" borderId="52" xfId="0" applyNumberFormat="1" applyFont="1" applyFill="1" applyBorder="1" applyAlignment="1">
      <x:alignment horizontal="center"/>
    </x:xf>
    <x:xf numFmtId="0" fontId="27" fillId="18" borderId="53" xfId="0" applyNumberFormat="1" applyFont="1" applyFill="1" applyBorder="1" applyAlignment="1">
      <x:alignment horizontal="center"/>
    </x:xf>
    <x:xf numFmtId="0" fontId="27" fillId="18" borderId="51" xfId="0" applyNumberFormat="1" applyFont="1" applyFill="1" applyBorder="1" applyAlignment="1">
      <x:alignment horizontal="center" vertical="center"/>
    </x:xf>
    <x:xf numFmtId="0" fontId="27" fillId="18" borderId="52" xfId="0" applyNumberFormat="1" applyFont="1" applyFill="1" applyBorder="1" applyAlignment="1">
      <x:alignment horizontal="center" vertical="center"/>
    </x:xf>
    <x:xf numFmtId="0" fontId="27" fillId="18" borderId="53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7" fillId="19" borderId="0" xfId="0" applyNumberFormat="1" applyFont="1" applyFill="1" applyBorder="1"/>
    <x:xf numFmtId="0" fontId="27" fillId="19" borderId="51" xfId="0" applyNumberFormat="1" applyFont="1" applyFill="1" applyBorder="1"/>
    <x:xf numFmtId="0" fontId="27" fillId="19" borderId="52" xfId="0" applyNumberFormat="1" applyFont="1" applyFill="1" applyBorder="1"/>
    <x:xf numFmtId="0" fontId="27" fillId="19" borderId="53" xfId="0" applyNumberFormat="1" applyFont="1" applyFill="1" applyBorder="1"/>
    <x:xf numFmtId="0" fontId="27" fillId="19" borderId="51" xfId="0" applyNumberFormat="1" applyFont="1" applyFill="1" applyBorder="1" applyAlignment="1">
      <x:alignment horizontal="center"/>
    </x:xf>
    <x:xf numFmtId="0" fontId="27" fillId="19" borderId="52" xfId="0" applyNumberFormat="1" applyFont="1" applyFill="1" applyBorder="1" applyAlignment="1">
      <x:alignment horizontal="center"/>
    </x:xf>
    <x:xf numFmtId="0" fontId="27" fillId="19" borderId="53" xfId="0" applyNumberFormat="1" applyFont="1" applyFill="1" applyBorder="1" applyAlignment="1">
      <x:alignment horizontal="center"/>
    </x:xf>
    <x:xf numFmtId="0" fontId="27" fillId="19" borderId="51" xfId="0" applyNumberFormat="1" applyFont="1" applyFill="1" applyBorder="1" applyAlignment="1">
      <x:alignment horizontal="center" vertical="center"/>
    </x:xf>
    <x:xf numFmtId="0" fontId="27" fillId="19" borderId="52" xfId="0" applyNumberFormat="1" applyFont="1" applyFill="1" applyBorder="1" applyAlignment="1">
      <x:alignment horizontal="center" vertical="center"/>
    </x:xf>
    <x:xf numFmtId="0" fontId="27" fillId="19" borderId="53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27" fillId="20" borderId="0" xfId="0" applyNumberFormat="1" applyFont="1" applyFill="1" applyBorder="1"/>
    <x:xf numFmtId="0" fontId="27" fillId="20" borderId="51" xfId="0" applyNumberFormat="1" applyFont="1" applyFill="1" applyBorder="1"/>
    <x:xf numFmtId="0" fontId="27" fillId="20" borderId="52" xfId="0" applyNumberFormat="1" applyFont="1" applyFill="1" applyBorder="1"/>
    <x:xf numFmtId="0" fontId="27" fillId="20" borderId="53" xfId="0" applyNumberFormat="1" applyFont="1" applyFill="1" applyBorder="1"/>
    <x:xf numFmtId="0" fontId="27" fillId="20" borderId="51" xfId="0" applyNumberFormat="1" applyFont="1" applyFill="1" applyBorder="1" applyAlignment="1">
      <x:alignment horizontal="center"/>
    </x:xf>
    <x:xf numFmtId="0" fontId="27" fillId="20" borderId="52" xfId="0" applyNumberFormat="1" applyFont="1" applyFill="1" applyBorder="1" applyAlignment="1">
      <x:alignment horizontal="center"/>
    </x:xf>
    <x:xf numFmtId="0" fontId="27" fillId="20" borderId="53" xfId="0" applyNumberFormat="1" applyFont="1" applyFill="1" applyBorder="1" applyAlignment="1">
      <x:alignment horizontal="center"/>
    </x:xf>
    <x:xf numFmtId="0" fontId="27" fillId="20" borderId="51" xfId="0" applyNumberFormat="1" applyFont="1" applyFill="1" applyBorder="1" applyAlignment="1">
      <x:alignment horizontal="center" vertical="center"/>
    </x:xf>
    <x:xf numFmtId="0" fontId="27" fillId="20" borderId="52" xfId="0" applyNumberFormat="1" applyFont="1" applyFill="1" applyBorder="1" applyAlignment="1">
      <x:alignment horizontal="center" vertical="center"/>
    </x:xf>
    <x:xf numFmtId="0" fontId="27" fillId="20" borderId="53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27" fillId="21" borderId="0" xfId="0" applyNumberFormat="1" applyFont="1" applyFill="1" applyBorder="1"/>
    <x:xf numFmtId="0" fontId="27" fillId="21" borderId="51" xfId="0" applyNumberFormat="1" applyFont="1" applyFill="1" applyBorder="1"/>
    <x:xf numFmtId="0" fontId="27" fillId="21" borderId="52" xfId="0" applyNumberFormat="1" applyFont="1" applyFill="1" applyBorder="1"/>
    <x:xf numFmtId="0" fontId="27" fillId="21" borderId="53" xfId="0" applyNumberFormat="1" applyFont="1" applyFill="1" applyBorder="1"/>
    <x:xf numFmtId="0" fontId="27" fillId="21" borderId="51" xfId="0" applyNumberFormat="1" applyFont="1" applyFill="1" applyBorder="1" applyAlignment="1">
      <x:alignment horizontal="center"/>
    </x:xf>
    <x:xf numFmtId="0" fontId="27" fillId="21" borderId="52" xfId="0" applyNumberFormat="1" applyFont="1" applyFill="1" applyBorder="1" applyAlignment="1">
      <x:alignment horizontal="center"/>
    </x:xf>
    <x:xf numFmtId="0" fontId="27" fillId="21" borderId="53" xfId="0" applyNumberFormat="1" applyFont="1" applyFill="1" applyBorder="1" applyAlignment="1">
      <x:alignment horizontal="center"/>
    </x:xf>
    <x:xf numFmtId="0" fontId="27" fillId="21" borderId="51" xfId="0" applyNumberFormat="1" applyFont="1" applyFill="1" applyBorder="1" applyAlignment="1">
      <x:alignment horizontal="center" vertical="center"/>
    </x:xf>
    <x:xf numFmtId="0" fontId="27" fillId="21" borderId="52" xfId="0" applyNumberFormat="1" applyFont="1" applyFill="1" applyBorder="1" applyAlignment="1">
      <x:alignment horizontal="center" vertical="center"/>
    </x:xf>
    <x:xf numFmtId="0" fontId="27" fillId="21" borderId="53" xfId="0" applyNumberFormat="1" applyFont="1" applyFill="1" applyBorder="1" applyAlignment="1">
      <x:alignment horizontal="center" vertical="center"/>
    </x:xf>
    <x:xf numFmtId="0" fontId="28" fillId="11" borderId="0" xfId="0" applyNumberFormat="1" applyFont="1" applyFill="1" applyBorder="1" applyAlignment="1">
      <x:alignment horizontal="center" vertical="center"/>
    </x:xf>
    <x:xf numFmtId="0" fontId="29" fillId="12" borderId="0" xfId="0" applyNumberFormat="1" applyFont="1" applyFill="1" applyBorder="1" applyAlignment="1">
      <x:alignment horizontal="center" vertical="center"/>
    </x:xf>
    <x:xf numFmtId="0" fontId="30" fillId="13" borderId="0" xfId="0" applyNumberFormat="1" applyFont="1" applyFill="1" applyBorder="1" applyAlignment="1">
      <x:alignment horizontal="center" vertical="center" wrapText="1"/>
    </x:xf>
    <x:xf numFmtId="0" fontId="31" fillId="0" borderId="0" xfId="0" applyNumberFormat="1" applyFont="1" applyFill="1" applyBorder="1"/>
    <x:xf numFmtId="0" fontId="32" fillId="14" borderId="51" xfId="0" applyNumberFormat="1" applyFont="1" applyFill="1" applyBorder="1" applyAlignment="1">
      <x:alignment horizontal="center" vertical="center"/>
    </x:xf>
    <x:xf numFmtId="0" fontId="32" fillId="14" borderId="52" xfId="0" applyNumberFormat="1" applyFont="1" applyFill="1" applyBorder="1" applyAlignment="1">
      <x:alignment horizontal="center" vertical="center"/>
    </x:xf>
    <x:xf numFmtId="0" fontId="32" fillId="14" borderId="53" xfId="0" applyNumberFormat="1" applyFont="1" applyFill="1" applyBorder="1" applyAlignment="1">
      <x:alignment horizontal="center" vertical="center"/>
    </x:xf>
    <x:xf numFmtId="0" fontId="30" fillId="15" borderId="54" xfId="0" applyNumberFormat="1" applyFont="1" applyFill="1" applyBorder="1" applyAlignment="1">
      <x:alignment horizontal="center" vertical="center"/>
    </x:xf>
    <x:xf numFmtId="0" fontId="30" fillId="15" borderId="55" xfId="0" applyNumberFormat="1" applyFont="1" applyFill="1" applyBorder="1" applyAlignment="1">
      <x:alignment horizontal="center" vertical="center"/>
    </x:xf>
    <x:xf numFmtId="0" fontId="30" fillId="15" borderId="56" xfId="0" applyNumberFormat="1" applyFont="1" applyFill="1" applyBorder="1" applyAlignment="1">
      <x:alignment horizontal="center" vertical="center"/>
    </x:xf>
    <x:xf numFmtId="0" fontId="32" fillId="16" borderId="51" xfId="0" applyNumberFormat="1" applyFont="1" applyFill="1" applyBorder="1" applyAlignment="1">
      <x:alignment horizontal="center" vertical="center"/>
    </x:xf>
    <x:xf numFmtId="0" fontId="32" fillId="16" borderId="52" xfId="0" applyNumberFormat="1" applyFont="1" applyFill="1" applyBorder="1" applyAlignment="1">
      <x:alignment horizontal="center" vertical="center"/>
    </x:xf>
    <x:xf numFmtId="0" fontId="32" fillId="16" borderId="53" xfId="0" applyNumberFormat="1" applyFont="1" applyFill="1" applyBorder="1" applyAlignment="1">
      <x:alignment horizontal="center" vertical="center"/>
    </x:xf>
    <x:xf numFmtId="0" fontId="32" fillId="17" borderId="51" xfId="0" applyNumberFormat="1" applyFont="1" applyFill="1" applyBorder="1" applyAlignment="1">
      <x:alignment horizontal="center" vertical="center"/>
    </x:xf>
    <x:xf numFmtId="0" fontId="32" fillId="17" borderId="52" xfId="0" applyNumberFormat="1" applyFont="1" applyFill="1" applyBorder="1" applyAlignment="1">
      <x:alignment horizontal="center" vertical="center"/>
    </x:xf>
    <x:xf numFmtId="0" fontId="32" fillId="17" borderId="53" xfId="0" applyNumberFormat="1" applyFont="1" applyFill="1" applyBorder="1" applyAlignment="1">
      <x:alignment horizontal="center" vertical="center"/>
    </x:xf>
    <x:xf numFmtId="0" fontId="32" fillId="18" borderId="51" xfId="0" applyNumberFormat="1" applyFont="1" applyFill="1" applyBorder="1" applyAlignment="1">
      <x:alignment horizontal="center" vertical="center"/>
    </x:xf>
    <x:xf numFmtId="0" fontId="32" fillId="18" borderId="52" xfId="0" applyNumberFormat="1" applyFont="1" applyFill="1" applyBorder="1" applyAlignment="1">
      <x:alignment horizontal="center" vertical="center"/>
    </x:xf>
    <x:xf numFmtId="0" fontId="32" fillId="18" borderId="53" xfId="0" applyNumberFormat="1" applyFont="1" applyFill="1" applyBorder="1" applyAlignment="1">
      <x:alignment horizontal="center" vertical="center"/>
    </x:xf>
    <x:xf numFmtId="0" fontId="32" fillId="19" borderId="51" xfId="0" applyNumberFormat="1" applyFont="1" applyFill="1" applyBorder="1" applyAlignment="1">
      <x:alignment horizontal="center" vertical="center"/>
    </x:xf>
    <x:xf numFmtId="0" fontId="32" fillId="19" borderId="52" xfId="0" applyNumberFormat="1" applyFont="1" applyFill="1" applyBorder="1" applyAlignment="1">
      <x:alignment horizontal="center" vertical="center"/>
    </x:xf>
    <x:xf numFmtId="0" fontId="32" fillId="19" borderId="53" xfId="0" applyNumberFormat="1" applyFont="1" applyFill="1" applyBorder="1" applyAlignment="1">
      <x:alignment horizontal="center" vertical="center"/>
    </x:xf>
    <x:xf numFmtId="0" fontId="32" fillId="20" borderId="51" xfId="0" applyNumberFormat="1" applyFont="1" applyFill="1" applyBorder="1" applyAlignment="1">
      <x:alignment horizontal="center" vertical="center"/>
    </x:xf>
    <x:xf numFmtId="0" fontId="32" fillId="20" borderId="52" xfId="0" applyNumberFormat="1" applyFont="1" applyFill="1" applyBorder="1" applyAlignment="1">
      <x:alignment horizontal="center" vertical="center"/>
    </x:xf>
    <x:xf numFmtId="0" fontId="32" fillId="20" borderId="53" xfId="0" applyNumberFormat="1" applyFont="1" applyFill="1" applyBorder="1" applyAlignment="1">
      <x:alignment horizontal="center" vertical="center"/>
    </x:xf>
    <x:xf numFmtId="0" fontId="32" fillId="21" borderId="51" xfId="0" applyNumberFormat="1" applyFont="1" applyFill="1" applyBorder="1" applyAlignment="1">
      <x:alignment horizontal="center" vertical="center"/>
    </x:xf>
    <x:xf numFmtId="0" fontId="32" fillId="21" borderId="52" xfId="0" applyNumberFormat="1" applyFont="1" applyFill="1" applyBorder="1" applyAlignment="1">
      <x:alignment horizontal="center" vertical="center"/>
    </x:xf>
    <x:xf numFmtId="0" fontId="32" fillId="21" borderId="53" xfId="0" applyNumberFormat="1" applyFont="1" applyFill="1" applyBorder="1" applyAlignment="1">
      <x:alignment horizontal="center" vertical="center"/>
    </x:xf>
    <x:xf numFmtId="0" fontId="33" fillId="12" borderId="0" xfId="0" applyNumberFormat="1" applyFont="1" applyFill="1" applyBorder="1"/>
    <x:xf numFmtId="0" fontId="33" fillId="12" borderId="0" xfId="0" applyNumberFormat="1" applyFont="1" applyFill="1" applyBorder="1" applyAlignment="1">
      <x:alignment horizontal="left"/>
    </x:xf>
    <x:xf numFmtId="0" fontId="33" fillId="12" borderId="0" xfId="0" applyNumberFormat="1" applyFont="1" applyFill="1" applyBorder="1" applyAlignment="1">
      <x:alignment horizontal="left" vertical="center"/>
    </x:xf>
    <x:xf numFmtId="0" fontId="34" fillId="7" borderId="0" xfId="0" applyNumberFormat="1" applyFont="1" applyFill="1" applyBorder="1" applyAlignment="1">
      <x:alignment horizontal="center" vertical="center"/>
    </x:xf>
  </x:cellXfs>
  <x:cellStyles count="4">
    <x:cellStyle name="Normal" xfId="0"/>
    <x:cellStyle name="Normal 2" xfId="3"/>
    <x:cellStyle name="Normal 3" xfId="2"/>
    <x:cellStyle name="Percentagem" xfId="1"/>
  </x:cellStyles>
  <x:dxfs count="3">
    <x:dxf>
      <x:fill>
        <x:patternFill>
          <x:bgColor theme="6" tint="0.59996"/>
        </x:patternFill>
      </x:fill>
    </x:dxf>
    <x:dxf>
      <x:fill>
        <x:patternFill>
          <x:bgColor theme="6" tint="0.59996"/>
        </x:patternFill>
      </x:fill>
    </x:dxf>
    <x:dxf>
      <x:fill>
        <x:patternFill>
          <x:bgColor theme="6" tint="0.5999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a7c4f4d63432a" /><Relationship Type="http://schemas.openxmlformats.org/officeDocument/2006/relationships/theme" Target="/xl/theme/theme1.xml" Id="Rd84a5f67ed594b4e" /><Relationship Type="http://schemas.openxmlformats.org/officeDocument/2006/relationships/sharedStrings" Target="/xl/sharedStrings.xml" Id="Rf00e18dad9c7415a" /><Relationship Type="http://schemas.openxmlformats.org/officeDocument/2006/relationships/worksheet" Target="/xl/worksheets/sheet1.xml" Id="R22c3fc86764b46a8" /><Relationship Type="http://schemas.openxmlformats.org/officeDocument/2006/relationships/worksheet" Target="/xl/worksheets/sheet2.xml" Id="R91ada6f7fd034ef2" /><Relationship Type="http://schemas.openxmlformats.org/officeDocument/2006/relationships/worksheet" Target="/xl/worksheets/sheet3.xml" Id="Rf0a298c0da964ef0" /><Relationship Type="http://schemas.openxmlformats.org/officeDocument/2006/relationships/worksheet" Target="/xl/worksheets/sheet4.xml" Id="R20ff6025076846c6" /><Relationship Type="http://schemas.openxmlformats.org/officeDocument/2006/relationships/worksheet" Target="/xl/worksheets/sheet5.xml" Id="Rad0a52b77604405c" /><Relationship Type="http://schemas.openxmlformats.org/officeDocument/2006/relationships/worksheet" Target="/xl/worksheets/sheet6.xml" Id="R06c3dd061ed34ffc" /><Relationship Type="http://schemas.openxmlformats.org/officeDocument/2006/relationships/worksheet" Target="/xl/worksheets/sheet7.xml" Id="R880c979698f74108" /><Relationship Type="http://schemas.openxmlformats.org/officeDocument/2006/relationships/worksheet" Target="/xl/worksheets/sheet8.xml" Id="R0f388106d69d4e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95703125" customWidth="1"/>
    <x:col min="2" max="2" width="9.28125" customWidth="1"/>
    <x:col min="3" max="11" width="10.4921875" customWidth="1"/>
    <x:col min="12" max="12" width="3.765625" style="8" customWidth="1"/>
    <x:col min="13" max="14" width="2.82421875" style="8" customWidth="1"/>
    <x:col min="15" max="16" width="7.53125" style="97" customWidth="1"/>
    <x:col min="17" max="19" width="9.01171875" style="97" customWidth="0"/>
    <x:col min="20" max="20" width="12.23828125" style="97" customWidth="1"/>
    <x:col min="21" max="21" width="11.8359375" style="97" customWidth="1"/>
    <x:col min="22" max="25" width="9.01171875" style="97" customWidth="0"/>
    <x:col min="26" max="26" width="10.76171875" style="97" customWidth="1"/>
    <x:col min="27" max="30" width="9.01171875" style="97" customWidth="0"/>
    <x:col min="31" max="45" width="9.01171875" style="8" customWidth="0"/>
  </x:cols>
  <x:sheetData>
    <x:row r="1" ht="33">
      <x:c r="B1" s="124" t="s">
        <x:v>0</x:v>
      </x:c>
      <x:c r="C1" s="125"/>
      <x:c r="D1" s="125"/>
      <x:c r="E1" s="125"/>
      <x:c r="F1" s="125"/>
      <x:c r="G1" s="125"/>
      <x:c r="H1" s="125"/>
      <x:c r="I1" s="125"/>
      <x:c r="J1" s="125"/>
      <x:c r="K1" s="125"/>
    </x:row>
    <x:row r="2" ht="24" customHeight="1">
      <x:c r="B2" s="292" t="str">
        <x:v>‹ MENU · ESCOLHE OUTRO SIMULADOR</x:v>
      </x:c>
      <x:c r="C2" s="292"/>
      <x:c r="D2" s="292"/>
      <x:c r="E2" s="292"/>
      <x:c r="F2" s="292"/>
      <x:c r="G2" s="292"/>
      <x:c r="H2" s="292"/>
      <x:c r="I2" s="292"/>
      <x:c r="J2" s="292"/>
      <x:c r="K2" s="292"/>
    </x:row>
    <x:row r="3" ht="15.75">
      <x:c r="B3" s="8"/>
      <x:c r="C3" s="8"/>
      <x:c r="D3" s="8"/>
      <x:c r="E3" s="8"/>
      <x:c r="F3" s="8"/>
      <x:c r="G3" s="8"/>
      <x:c r="H3" s="8"/>
      <x:c r="I3" s="8"/>
      <x:c r="J3" s="8"/>
      <x:c r="K3" s="8"/>
      <x:c r="S3" s="90" t="s">
        <x:v>1</x:v>
      </x:c>
      <x:c r="T3" s="90" t="s">
        <x:v>2</x:v>
      </x:c>
    </x:row>
    <x:row r="4" ht="17.25" customHeight="1">
      <x:c r="B4" s="127" t="s">
        <x:v>3</x:v>
      </x:c>
      <x:c r="C4" s="129" t="s">
        <x:v>4</x:v>
      </x:c>
      <x:c r="D4" s="129"/>
      <x:c r="E4" s="130" t="s">
        <x:v>5</x:v>
      </x:c>
      <x:c r="F4" s="130"/>
      <x:c r="G4" s="130"/>
      <x:c r="H4" s="130" t="s">
        <x:v>6</x:v>
      </x:c>
      <x:c r="I4" s="130"/>
      <x:c r="J4" s="130"/>
      <x:c r="K4" s="131"/>
      <x:c r="O4" s="114"/>
      <x:c r="P4" s="114"/>
      <x:c r="S4" s="90" t="s">
        <x:v>7</x:v>
      </x:c>
      <x:c r="T4" s="90">
        <x:v>-0.02</x:v>
      </x:c>
    </x:row>
    <x:row r="5" ht="17.25" customHeight="1">
      <x:c r="B5" s="128"/>
      <x:c r="C5" s="11" t="s">
        <x:v>8</x:v>
      </x:c>
      <x:c r="D5" s="11" t="s">
        <x:v>9</x:v>
      </x:c>
      <x:c r="E5" s="11" t="s">
        <x:v>8</x:v>
      </x:c>
      <x:c r="F5" s="132" t="s">
        <x:v>10</x:v>
      </x:c>
      <x:c r="G5" s="132"/>
      <x:c r="H5" s="11" t="s">
        <x:v>8</x:v>
      </x:c>
      <x:c r="I5" s="132" t="s">
        <x:v>10</x:v>
      </x:c>
      <x:c r="J5" s="132"/>
      <x:c r="K5" s="133"/>
      <x:c r="S5" s="90" t="s">
        <x:v>11</x:v>
      </x:c>
      <x:c r="T5" s="90">
        <x:v>-0.01</x:v>
      </x:c>
      <x:c r="U5" s="126"/>
      <x:c r="V5" s="126"/>
      <x:c r="W5" s="126"/>
      <x:c r="X5" s="126"/>
      <x:c r="Y5" s="126"/>
      <x:c r="Z5" s="126"/>
    </x:row>
    <x:row r="6" ht="17.25" customHeight="1">
      <x:c r="B6" s="128"/>
      <x:c r="C6" s="12" t="s">
        <x:v>12</x:v>
      </x:c>
      <x:c r="D6" s="12" t="s">
        <x:v>13</x:v>
      </x:c>
      <x:c r="E6" s="12" t="s">
        <x:v>12</x:v>
      </x:c>
      <x:c r="F6" s="28" t="s">
        <x:v>14</x:v>
      </x:c>
      <x:c r="G6" s="22" t="s">
        <x:v>15</x:v>
      </x:c>
      <x:c r="H6" s="12" t="s">
        <x:v>12</x:v>
      </x:c>
      <x:c r="I6" s="22" t="s">
        <x:v>16</x:v>
      </x:c>
      <x:c r="J6" s="22" t="s">
        <x:v>17</x:v>
      </x:c>
      <x:c r="K6" s="23" t="s">
        <x:v>15</x:v>
      </x:c>
      <x:c r="S6" s="90" t="s">
        <x:v>18</x:v>
      </x:c>
      <x:c r="T6" s="90">
        <x:v>0</x:v>
      </x:c>
      <x:c r="Y6" s="98"/>
    </x:row>
    <x:row r="7" s="1" customFormat="1" ht="18" customHeight="1">
      <x:c r="B7" s="19">
        <x:v>1.1499999999999999</x:v>
      </x:c>
      <x:c r="C7" s="44">
        <x:v>0.15</x:v>
      </x:c>
      <x:c r="D7" s="45">
        <x:v>0.1699</x:v>
      </x:c>
      <x:c r="E7" s="37"/>
      <x:c r="F7" s="38"/>
      <x:c r="G7" s="39"/>
      <x:c r="H7" s="37"/>
      <x:c r="I7" s="38"/>
      <x:c r="J7" s="40"/>
      <x:c r="K7" s="41"/>
      <x:c r="L7" s="13"/>
      <x:c r="M7" s="13"/>
      <x:c r="N7" s="13"/>
      <x:c r="O7" s="116"/>
      <x:c r="P7" s="116"/>
      <x:c r="Q7" s="99"/>
      <x:c r="R7" s="115"/>
      <x:c r="S7" s="92"/>
      <x:c r="T7" s="111"/>
      <x:c r="U7" s="100"/>
      <x:c r="V7" s="100"/>
      <x:c r="W7" s="100"/>
      <x:c r="X7" s="100"/>
      <x:c r="Y7" s="100"/>
      <x:c r="Z7" s="100"/>
      <x:c r="AA7" s="100"/>
      <x:c r="AB7" s="100"/>
      <x:c r="AC7" s="100"/>
      <x:c r="AD7" s="100"/>
      <x:c r="AE7" s="13"/>
      <x:c r="AF7" s="13"/>
      <x:c r="AG7" s="13"/>
      <x:c r="AH7" s="13"/>
      <x:c r="AI7" s="13"/>
      <x:c r="AJ7" s="13"/>
      <x:c r="AK7" s="13"/>
      <x:c r="AL7" s="13"/>
      <x:c r="AM7" s="13"/>
      <x:c r="AN7" s="13"/>
      <x:c r="AO7" s="13"/>
      <x:c r="AP7" s="13"/>
      <x:c r="AQ7" s="13"/>
      <x:c r="AR7" s="13"/>
      <x:c r="AS7" s="13"/>
    </x:row>
    <x:row r="8" s="1" customFormat="1" ht="18" customHeight="1">
      <x:c r="B8" s="20">
        <x:v>2.2999999999999998</x:v>
      </x:c>
      <x:c r="C8" s="46">
        <x:v>0.2</x:v>
      </x:c>
      <x:c r="D8" s="47" t="n">
        <x:f>D7</x:f>
        <x:v>0.1699</x:v>
      </x:c>
      <x:c r="E8" s="29"/>
      <x:c r="F8" s="31"/>
      <x:c r="G8" s="32"/>
      <x:c r="H8" s="29"/>
      <x:c r="I8" s="31"/>
      <x:c r="J8" s="42"/>
      <x:c r="K8" s="43"/>
      <x:c r="L8" s="13"/>
      <x:c r="M8" s="13"/>
      <x:c r="N8" s="13"/>
      <x:c r="O8" s="116"/>
      <x:c r="P8" s="116"/>
      <x:c r="Q8" s="99"/>
      <x:c r="R8" s="115"/>
      <x:c r="S8" s="111" t="s">
        <x:v>19</x:v>
      </x:c>
      <x:c r="T8" s="111"/>
      <x:c r="U8" s="100"/>
      <x:c r="V8" s="100"/>
      <x:c r="W8" s="100"/>
      <x:c r="X8" s="100"/>
      <x:c r="Y8" s="100"/>
      <x:c r="Z8" s="100"/>
      <x:c r="AA8" s="100"/>
      <x:c r="AB8" s="100"/>
      <x:c r="AC8" s="100"/>
      <x:c r="AD8" s="100"/>
      <x:c r="AE8" s="13"/>
      <x:c r="AF8" s="13"/>
      <x:c r="AG8" s="13"/>
      <x:c r="AH8" s="13"/>
      <x:c r="AI8" s="13"/>
      <x:c r="AJ8" s="13"/>
      <x:c r="AK8" s="13"/>
      <x:c r="AL8" s="13"/>
      <x:c r="AM8" s="13"/>
      <x:c r="AN8" s="13"/>
      <x:c r="AO8" s="13"/>
      <x:c r="AP8" s="13"/>
      <x:c r="AQ8" s="13"/>
      <x:c r="AR8" s="13"/>
      <x:c r="AS8" s="13"/>
    </x:row>
    <x:row r="9" s="1" customFormat="1" ht="18" customHeight="1">
      <x:c r="B9" s="20">
        <x:v>3.45</x:v>
      </x:c>
      <x:c r="C9" s="46">
        <x:v>0.27</x:v>
      </x:c>
      <x:c r="D9" s="47" t="n">
        <x:f t="shared" ref="D9:D16" si="0">D8</x:f>
        <x:v>0.1699</x:v>
      </x:c>
      <x:c r="E9" s="26" t="n">
        <x:f>C9</x:f>
        <x:v>0.27</x:v>
      </x:c>
      <x:c r="F9" s="24">
        <x:v>0.19989999999999999</x:v>
      </x:c>
      <x:c r="G9" s="14">
        <x:v>0.11990000000000001</x:v>
      </x:c>
      <x:c r="H9" s="29"/>
      <x:c r="I9" s="31"/>
      <x:c r="J9" s="42"/>
      <x:c r="K9" s="43"/>
      <x:c r="L9" s="13"/>
      <x:c r="M9" s="13"/>
      <x:c r="N9" s="13"/>
      <x:c r="O9" s="101"/>
      <x:c r="P9" s="102"/>
      <x:c r="Q9" s="99"/>
      <x:c r="R9" s="101"/>
      <x:c r="S9" s="54" t="s">
        <x:v>20</x:v>
      </x:c>
      <x:c r="T9" s="91">
        <x:v>0</x:v>
      </x:c>
      <x:c r="U9" s="101"/>
      <x:c r="V9" s="102"/>
      <x:c r="W9" s="99"/>
      <x:c r="X9" s="101"/>
      <x:c r="Y9" s="102"/>
      <x:c r="Z9" s="99"/>
      <x:c r="AA9" s="100"/>
      <x:c r="AB9" s="100"/>
      <x:c r="AC9" s="100"/>
      <x:c r="AD9" s="100"/>
      <x:c r="AE9" s="13"/>
      <x:c r="AF9" s="13"/>
      <x:c r="AG9" s="13"/>
      <x:c r="AH9" s="13"/>
      <x:c r="AI9" s="13"/>
      <x:c r="AJ9" s="13"/>
      <x:c r="AK9" s="13"/>
      <x:c r="AL9" s="13"/>
      <x:c r="AM9" s="13"/>
      <x:c r="AN9" s="13"/>
      <x:c r="AO9" s="13"/>
      <x:c r="AP9" s="13"/>
      <x:c r="AQ9" s="13"/>
      <x:c r="AR9" s="13"/>
      <x:c r="AS9" s="13"/>
    </x:row>
    <x:row r="10" s="1" customFormat="1" ht="18" customHeight="1">
      <x:c r="B10" s="20">
        <x:v>4.5999999999999996</x:v>
      </x:c>
      <x:c r="C10" s="46">
        <x:v>0.38</x:v>
      </x:c>
      <x:c r="D10" s="47">
        <x:f t="shared" si="0"/>
        <x:v>0.1699</x:v>
      </x:c>
      <x:c r="E10" s="26" t="n">
        <x:f t="shared" ref="E10:E16" si="1">C10</x:f>
        <x:v>0.38</x:v>
      </x:c>
      <x:c r="F10" s="24" t="n">
        <x:f>F9</x:f>
        <x:v>0.1999</x:v>
      </x:c>
      <x:c r="G10" s="14" t="n">
        <x:f>G9</x:f>
        <x:v>0.1199</x:v>
      </x:c>
      <x:c r="H10" s="29"/>
      <x:c r="I10" s="31"/>
      <x:c r="J10" s="42"/>
      <x:c r="K10" s="43"/>
      <x:c r="L10" s="13"/>
      <x:c r="M10" s="13"/>
      <x:c r="N10" s="13"/>
      <x:c r="O10" s="101"/>
      <x:c r="P10" s="102"/>
      <x:c r="Q10" s="99"/>
      <x:c r="R10" s="101"/>
      <x:c r="S10" s="54" t="s">
        <x:v>21</x:v>
      </x:c>
      <x:c r="T10" s="54">
        <x:v>0.01</x:v>
      </x:c>
      <x:c r="U10" s="101"/>
      <x:c r="V10" s="102"/>
      <x:c r="W10" s="99"/>
      <x:c r="X10" s="101"/>
      <x:c r="Y10" s="102"/>
      <x:c r="Z10" s="99"/>
      <x:c r="AA10" s="100"/>
      <x:c r="AB10" s="100"/>
      <x:c r="AC10" s="100"/>
      <x:c r="AD10" s="100"/>
      <x:c r="AE10" s="13"/>
      <x:c r="AF10" s="13"/>
      <x:c r="AG10" s="13"/>
      <x:c r="AH10" s="13"/>
      <x:c r="AI10" s="13"/>
      <x:c r="AJ10" s="13"/>
      <x:c r="AK10" s="13"/>
      <x:c r="AL10" s="13"/>
      <x:c r="AM10" s="13"/>
      <x:c r="AN10" s="13"/>
      <x:c r="AO10" s="13"/>
      <x:c r="AP10" s="13"/>
      <x:c r="AQ10" s="13"/>
      <x:c r="AR10" s="13"/>
      <x:c r="AS10" s="13"/>
    </x:row>
    <x:row r="11" s="1" customFormat="1" ht="18" customHeight="1">
      <x:c r="B11" s="20">
        <x:v>5.75</x:v>
      </x:c>
      <x:c r="C11" s="46">
        <x:v>0.47</x:v>
      </x:c>
      <x:c r="D11" s="47">
        <x:f t="shared" si="0"/>
        <x:v>0.1699</x:v>
      </x:c>
      <x:c r="E11" s="26">
        <x:f t="shared" si="1"/>
        <x:v>0.47</x:v>
      </x:c>
      <x:c r="F11" s="24" t="n">
        <x:f t="shared" ref="F11:F16" si="2">F10</x:f>
        <x:v>0.1999</x:v>
      </x:c>
      <x:c r="G11" s="14" t="n">
        <x:f t="shared" ref="G11:G16" si="3">G10</x:f>
        <x:v>0.1199</x:v>
      </x:c>
      <x:c r="H11" s="29"/>
      <x:c r="I11" s="31"/>
      <x:c r="J11" s="42"/>
      <x:c r="K11" s="43"/>
      <x:c r="L11" s="13"/>
      <x:c r="M11" s="13"/>
      <x:c r="N11" s="13"/>
      <x:c r="O11" s="101"/>
      <x:c r="P11" s="102"/>
      <x:c r="Q11" s="99"/>
      <x:c r="R11" s="101"/>
      <x:c r="S11" s="54" t="s">
        <x:v>22</x:v>
      </x:c>
      <x:c r="T11" s="54">
        <x:v>0.02</x:v>
      </x:c>
      <x:c r="U11" s="101"/>
      <x:c r="V11" s="102"/>
      <x:c r="W11" s="99"/>
      <x:c r="X11" s="101"/>
      <x:c r="Y11" s="102"/>
      <x:c r="Z11" s="99"/>
      <x:c r="AA11" s="100"/>
      <x:c r="AB11" s="100"/>
      <x:c r="AC11" s="100"/>
      <x:c r="AD11" s="100"/>
      <x:c r="AE11" s="13"/>
      <x:c r="AF11" s="13"/>
      <x:c r="AG11" s="13"/>
      <x:c r="AH11" s="13"/>
      <x:c r="AI11" s="13"/>
      <x:c r="AJ11" s="13"/>
      <x:c r="AK11" s="13"/>
      <x:c r="AL11" s="13"/>
      <x:c r="AM11" s="13"/>
      <x:c r="AN11" s="13"/>
      <x:c r="AO11" s="13"/>
      <x:c r="AP11" s="13"/>
      <x:c r="AQ11" s="13"/>
      <x:c r="AR11" s="13"/>
      <x:c r="AS11" s="13"/>
    </x:row>
    <x:row r="12" s="1" customFormat="1" ht="18" customHeight="1">
      <x:c r="B12" s="20">
        <x:v>6.9</x:v>
      </x:c>
      <x:c r="C12" s="46">
        <x:v>0.55000000000000004</x:v>
      </x:c>
      <x:c r="D12" s="47">
        <x:f t="shared" si="0"/>
        <x:v>0.1699</x:v>
      </x:c>
      <x:c r="E12" s="26">
        <x:f t="shared" si="1"/>
        <x:v>0.55000000000000004</x:v>
      </x:c>
      <x:c r="F12" s="24">
        <x:f t="shared" si="2"/>
        <x:v>0.19989999999999999</x:v>
      </x:c>
      <x:c r="G12" s="14">
        <x:f t="shared" si="3"/>
        <x:v>0.11990000000000001</x:v>
      </x:c>
      <x:c r="H12" s="29"/>
      <x:c r="I12" s="31"/>
      <x:c r="J12" s="42"/>
      <x:c r="K12" s="43"/>
      <x:c r="L12" s="13"/>
      <x:c r="M12" s="13"/>
      <x:c r="N12" s="13"/>
      <x:c r="O12" s="101"/>
      <x:c r="P12" s="102"/>
      <x:c r="Q12" s="99"/>
      <x:c r="R12" s="101"/>
      <x:c r="S12" s="115"/>
      <x:c r="T12" s="99"/>
      <x:c r="U12" s="101"/>
      <x:c r="V12" s="102"/>
      <x:c r="W12" s="99"/>
      <x:c r="X12" s="101"/>
      <x:c r="Y12" s="102"/>
      <x:c r="Z12" s="99"/>
      <x:c r="AA12" s="100"/>
      <x:c r="AB12" s="100"/>
      <x:c r="AC12" s="100"/>
      <x:c r="AD12" s="100"/>
      <x:c r="AE12" s="13"/>
      <x:c r="AF12" s="13"/>
      <x:c r="AG12" s="13"/>
      <x:c r="AH12" s="13"/>
      <x:c r="AI12" s="13"/>
      <x:c r="AJ12" s="13"/>
      <x:c r="AK12" s="13"/>
      <x:c r="AL12" s="13"/>
      <x:c r="AM12" s="13"/>
      <x:c r="AN12" s="13"/>
      <x:c r="AO12" s="13"/>
      <x:c r="AP12" s="13"/>
      <x:c r="AQ12" s="13"/>
      <x:c r="AR12" s="13"/>
      <x:c r="AS12" s="13"/>
    </x:row>
    <x:row r="13" s="1" customFormat="1" ht="18" customHeight="1">
      <x:c r="B13" s="20">
        <x:v>10.35</x:v>
      </x:c>
      <x:c r="C13" s="46">
        <x:v>0.65</x:v>
      </x:c>
      <x:c r="D13" s="47">
        <x:f t="shared" si="0"/>
        <x:v>0.1699</x:v>
      </x:c>
      <x:c r="E13" s="26">
        <x:f t="shared" si="1"/>
        <x:v>0.65</x:v>
      </x:c>
      <x:c r="F13" s="24">
        <x:f t="shared" si="2"/>
        <x:v>0.19989999999999999</x:v>
      </x:c>
      <x:c r="G13" s="14">
        <x:f t="shared" si="3"/>
        <x:v>0.11990000000000001</x:v>
      </x:c>
      <x:c r="H13" s="29"/>
      <x:c r="I13" s="31"/>
      <x:c r="J13" s="42"/>
      <x:c r="K13" s="43"/>
      <x:c r="L13" s="13"/>
      <x:c r="M13" s="13"/>
      <x:c r="N13" s="13"/>
      <x:c r="O13" s="101"/>
      <x:c r="P13" s="102"/>
      <x:c r="Q13" s="99"/>
      <x:c r="R13" s="101"/>
      <x:c r="S13" s="115"/>
      <x:c r="T13" s="99"/>
      <x:c r="U13" s="101"/>
      <x:c r="V13" s="102"/>
      <x:c r="W13" s="99"/>
      <x:c r="X13" s="101"/>
      <x:c r="Y13" s="102"/>
      <x:c r="Z13" s="99"/>
      <x:c r="AA13" s="100"/>
      <x:c r="AB13" s="100"/>
      <x:c r="AC13" s="100"/>
      <x:c r="AD13" s="100"/>
      <x:c r="AE13" s="13"/>
      <x:c r="AF13" s="13"/>
      <x:c r="AG13" s="13"/>
      <x:c r="AH13" s="13"/>
      <x:c r="AI13" s="13"/>
      <x:c r="AJ13" s="13"/>
      <x:c r="AK13" s="13"/>
      <x:c r="AL13" s="13"/>
      <x:c r="AM13" s="13"/>
      <x:c r="AN13" s="13"/>
      <x:c r="AO13" s="13"/>
      <x:c r="AP13" s="13"/>
      <x:c r="AQ13" s="13"/>
      <x:c r="AR13" s="13"/>
      <x:c r="AS13" s="13"/>
    </x:row>
    <x:row r="14" s="1" customFormat="1" ht="18" customHeight="1">
      <x:c r="B14" s="20">
        <x:v>13.8</x:v>
      </x:c>
      <x:c r="C14" s="46">
        <x:v>0.8</x:v>
      </x:c>
      <x:c r="D14" s="47">
        <x:f t="shared" si="0"/>
        <x:v>0.1699</x:v>
      </x:c>
      <x:c r="E14" s="26">
        <x:f t="shared" si="1"/>
        <x:v>0.8</x:v>
      </x:c>
      <x:c r="F14" s="24">
        <x:f t="shared" si="2"/>
        <x:v>0.19989999999999999</x:v>
      </x:c>
      <x:c r="G14" s="14">
        <x:f t="shared" si="3"/>
        <x:v>0.11990000000000001</x:v>
      </x:c>
      <x:c r="H14" s="29"/>
      <x:c r="I14" s="31"/>
      <x:c r="J14" s="42"/>
      <x:c r="K14" s="43"/>
      <x:c r="L14" s="13"/>
      <x:c r="M14" s="13"/>
      <x:c r="N14" s="13"/>
      <x:c r="O14" s="101"/>
      <x:c r="P14" s="102"/>
      <x:c r="Q14" s="99"/>
      <x:c r="R14" s="101"/>
      <x:c r="S14" s="115"/>
      <x:c r="T14" s="99"/>
      <x:c r="U14" s="101"/>
      <x:c r="V14" s="102"/>
      <x:c r="W14" s="99"/>
      <x:c r="X14" s="101"/>
      <x:c r="Y14" s="102"/>
      <x:c r="Z14" s="99"/>
      <x:c r="AA14" s="100"/>
      <x:c r="AB14" s="100"/>
      <x:c r="AC14" s="100"/>
      <x:c r="AD14" s="100"/>
      <x:c r="AE14" s="13"/>
      <x:c r="AF14" s="13"/>
      <x:c r="AG14" s="13"/>
      <x:c r="AH14" s="13"/>
      <x:c r="AI14" s="13"/>
      <x:c r="AJ14" s="13"/>
      <x:c r="AK14" s="13"/>
      <x:c r="AL14" s="13"/>
      <x:c r="AM14" s="13"/>
      <x:c r="AN14" s="13"/>
      <x:c r="AO14" s="13"/>
      <x:c r="AP14" s="13"/>
      <x:c r="AQ14" s="13"/>
      <x:c r="AR14" s="13"/>
      <x:c r="AS14" s="13"/>
    </x:row>
    <x:row r="15" s="1" customFormat="1" ht="18" customHeight="1">
      <x:c r="B15" s="20">
        <x:v>17.25</x:v>
      </x:c>
      <x:c r="C15" s="46">
        <x:v>0.99</x:v>
      </x:c>
      <x:c r="D15" s="47">
        <x:f t="shared" si="0"/>
        <x:v>0.1699</x:v>
      </x:c>
      <x:c r="E15" s="26">
        <x:f t="shared" si="1"/>
        <x:v>0.99</x:v>
      </x:c>
      <x:c r="F15" s="24">
        <x:f t="shared" si="2"/>
        <x:v>0.19989999999999999</x:v>
      </x:c>
      <x:c r="G15" s="14">
        <x:f t="shared" si="3"/>
        <x:v>0.11990000000000001</x:v>
      </x:c>
      <x:c r="H15" s="29"/>
      <x:c r="I15" s="31"/>
      <x:c r="J15" s="42"/>
      <x:c r="K15" s="43"/>
      <x:c r="L15" s="13"/>
      <x:c r="M15" s="13"/>
      <x:c r="N15" s="13"/>
      <x:c r="O15" s="101"/>
      <x:c r="P15" s="102"/>
      <x:c r="Q15" s="99"/>
      <x:c r="R15" s="101"/>
      <x:c r="S15" s="115"/>
      <x:c r="T15" s="99"/>
      <x:c r="U15" s="101"/>
      <x:c r="V15" s="102"/>
      <x:c r="W15" s="99"/>
      <x:c r="X15" s="101"/>
      <x:c r="Y15" s="102"/>
      <x:c r="Z15" s="99"/>
      <x:c r="AA15" s="100"/>
      <x:c r="AB15" s="100"/>
      <x:c r="AC15" s="100"/>
      <x:c r="AD15" s="100"/>
      <x:c r="AE15" s="13"/>
      <x:c r="AF15" s="13"/>
      <x:c r="AG15" s="13"/>
      <x:c r="AH15" s="13"/>
      <x:c r="AI15" s="13"/>
      <x:c r="AJ15" s="13"/>
      <x:c r="AK15" s="13"/>
      <x:c r="AL15" s="13"/>
      <x:c r="AM15" s="13"/>
      <x:c r="AN15" s="13"/>
      <x:c r="AO15" s="13"/>
      <x:c r="AP15" s="13"/>
      <x:c r="AQ15" s="13"/>
      <x:c r="AR15" s="13"/>
      <x:c r="AS15" s="13"/>
    </x:row>
    <x:row r="16" s="1" customFormat="1" ht="18" customHeight="1">
      <x:c r="B16" s="20">
        <x:v>20.7</x:v>
      </x:c>
      <x:c r="C16" s="46">
        <x:v>1.1499999999999999</x:v>
      </x:c>
      <x:c r="D16" s="47">
        <x:f t="shared" si="0"/>
        <x:v>0.1699</x:v>
      </x:c>
      <x:c r="E16" s="26">
        <x:f t="shared" si="1"/>
        <x:v>1.1499999999999999</x:v>
      </x:c>
      <x:c r="F16" s="24">
        <x:f t="shared" si="2"/>
        <x:v>0.19989999999999999</x:v>
      </x:c>
      <x:c r="G16" s="14">
        <x:f t="shared" si="3"/>
        <x:v>0.11990000000000001</x:v>
      </x:c>
      <x:c r="H16" s="29"/>
      <x:c r="I16" s="31"/>
      <x:c r="J16" s="42"/>
      <x:c r="K16" s="43"/>
      <x:c r="L16" s="13"/>
      <x:c r="M16" s="13"/>
      <x:c r="N16" s="13"/>
      <x:c r="O16" s="101"/>
      <x:c r="P16" s="102"/>
      <x:c r="Q16" s="99"/>
      <x:c r="R16" s="101"/>
      <x:c r="S16" s="115"/>
      <x:c r="T16" s="99"/>
      <x:c r="U16" s="101"/>
      <x:c r="V16" s="102"/>
      <x:c r="W16" s="99"/>
      <x:c r="X16" s="101"/>
      <x:c r="Y16" s="102"/>
      <x:c r="Z16" s="99"/>
      <x:c r="AA16" s="100"/>
      <x:c r="AB16" s="100"/>
      <x:c r="AC16" s="100"/>
      <x:c r="AD16" s="100"/>
      <x:c r="AE16" s="13"/>
      <x:c r="AF16" s="13"/>
      <x:c r="AG16" s="13"/>
      <x:c r="AH16" s="13"/>
      <x:c r="AI16" s="13"/>
      <x:c r="AJ16" s="13"/>
      <x:c r="AK16" s="13"/>
      <x:c r="AL16" s="13"/>
      <x:c r="AM16" s="13"/>
      <x:c r="AN16" s="13"/>
      <x:c r="AO16" s="13"/>
      <x:c r="AP16" s="13"/>
      <x:c r="AQ16" s="13"/>
      <x:c r="AR16" s="13"/>
      <x:c r="AS16" s="13"/>
    </x:row>
    <x:row r="17" s="1" customFormat="1" ht="18" customHeight="1">
      <x:c r="B17" s="20">
        <x:v>27.6</x:v>
      </x:c>
      <x:c r="C17" s="29"/>
      <x:c r="D17" s="30"/>
      <x:c r="E17" s="29"/>
      <x:c r="F17" s="31"/>
      <x:c r="G17" s="32"/>
      <x:c r="H17" s="26">
        <x:v>1.5</x:v>
      </x:c>
      <x:c r="I17" s="24">
        <x:v>0.34989999999999999</x:v>
      </x:c>
      <x:c r="J17" s="15">
        <x:v>0.1699</x:v>
      </x:c>
      <x:c r="K17" s="16">
        <x:v>0.11990000000000001</x:v>
      </x:c>
      <x:c r="L17" s="13"/>
      <x:c r="M17" s="13"/>
      <x:c r="N17" s="13"/>
      <x:c r="O17" s="100"/>
      <x:c r="P17" s="100"/>
      <x:c r="Q17" s="100"/>
      <x:c r="R17" s="100"/>
      <x:c r="S17" s="100"/>
      <x:c r="T17" s="103"/>
      <x:c r="U17" s="103"/>
      <x:c r="V17" s="103"/>
      <x:c r="W17" s="103"/>
      <x:c r="X17" s="103"/>
      <x:c r="Y17" s="103"/>
      <x:c r="Z17" s="103"/>
      <x:c r="AA17" s="100"/>
      <x:c r="AB17" s="100"/>
      <x:c r="AC17" s="100"/>
      <x:c r="AD17" s="100"/>
      <x:c r="AE17" s="13"/>
      <x:c r="AF17" s="13"/>
      <x:c r="AG17" s="13"/>
      <x:c r="AH17" s="13"/>
      <x:c r="AI17" s="13"/>
      <x:c r="AJ17" s="13"/>
      <x:c r="AK17" s="13"/>
      <x:c r="AL17" s="13"/>
      <x:c r="AM17" s="13"/>
      <x:c r="AN17" s="13"/>
      <x:c r="AO17" s="13"/>
      <x:c r="AP17" s="13"/>
      <x:c r="AQ17" s="13"/>
      <x:c r="AR17" s="13"/>
      <x:c r="AS17" s="13"/>
    </x:row>
    <x:row r="18" s="1" customFormat="1" ht="18" customHeight="1">
      <x:c r="B18" s="20">
        <x:v>34.5</x:v>
      </x:c>
      <x:c r="C18" s="29"/>
      <x:c r="D18" s="30"/>
      <x:c r="E18" s="29"/>
      <x:c r="F18" s="31"/>
      <x:c r="G18" s="32"/>
      <x:c r="H18" s="26">
        <x:v>2</x:v>
      </x:c>
      <x:c r="I18" s="24" t="n">
        <x:f t="shared" ref="I18:K19" si="4">I17</x:f>
        <x:v>0.3499</x:v>
      </x:c>
      <x:c r="J18" s="15">
        <x:f t="shared" si="4"/>
        <x:v>0.1699</x:v>
      </x:c>
      <x:c r="K18" s="16">
        <x:f t="shared" si="4"/>
        <x:v>0.11990000000000001</x:v>
      </x:c>
      <x:c r="L18" s="13"/>
      <x:c r="M18" s="13"/>
      <x:c r="N18" s="13"/>
      <x:c r="O18" s="100"/>
      <x:c r="P18" s="100"/>
      <x:c r="Q18" s="100"/>
      <x:c r="R18" s="100"/>
      <x:c r="S18" s="100"/>
      <x:c r="T18" s="100"/>
      <x:c r="U18" s="100"/>
      <x:c r="V18" s="100"/>
      <x:c r="W18" s="100"/>
      <x:c r="X18" s="100"/>
      <x:c r="Y18" s="100"/>
      <x:c r="Z18" s="100"/>
      <x:c r="AA18" s="100"/>
      <x:c r="AB18" s="100"/>
      <x:c r="AC18" s="100"/>
      <x:c r="AD18" s="100"/>
      <x:c r="AE18" s="13"/>
      <x:c r="AF18" s="13"/>
      <x:c r="AG18" s="13"/>
      <x:c r="AH18" s="13"/>
      <x:c r="AI18" s="13"/>
      <x:c r="AJ18" s="13"/>
      <x:c r="AK18" s="13"/>
      <x:c r="AL18" s="13"/>
      <x:c r="AM18" s="13"/>
      <x:c r="AN18" s="13"/>
      <x:c r="AO18" s="13"/>
      <x:c r="AP18" s="13"/>
      <x:c r="AQ18" s="13"/>
      <x:c r="AR18" s="13"/>
      <x:c r="AS18" s="13"/>
    </x:row>
    <x:row r="19" s="1" customFormat="1" ht="18" customHeight="1">
      <x:c r="B19" s="21">
        <x:v>41.4</x:v>
      </x:c>
      <x:c r="C19" s="33"/>
      <x:c r="D19" s="34"/>
      <x:c r="E19" s="33"/>
      <x:c r="F19" s="35"/>
      <x:c r="G19" s="36"/>
      <x:c r="H19" s="27">
        <x:v>2.5</x:v>
      </x:c>
      <x:c r="I19" s="25">
        <x:f t="shared" si="4"/>
        <x:v>0.34989999999999999</x:v>
      </x:c>
      <x:c r="J19" s="17">
        <x:f t="shared" si="4"/>
        <x:v>0.1699</x:v>
      </x:c>
      <x:c r="K19" s="18">
        <x:f t="shared" si="4"/>
        <x:v>0.11990000000000001</x:v>
      </x:c>
      <x:c r="L19" s="13"/>
      <x:c r="M19" s="13"/>
      <x:c r="N19" s="13"/>
      <x:c r="O19" s="100"/>
      <x:c r="P19" s="100"/>
      <x:c r="Q19" s="100"/>
      <x:c r="R19" s="100"/>
      <x:c r="S19" s="100"/>
      <x:c r="T19" s="100"/>
      <x:c r="U19" s="100"/>
      <x:c r="V19" s="100"/>
      <x:c r="W19" s="100"/>
      <x:c r="X19" s="100"/>
      <x:c r="Y19" s="100"/>
      <x:c r="Z19" s="100"/>
      <x:c r="AA19" s="100"/>
      <x:c r="AB19" s="100"/>
      <x:c r="AC19" s="100"/>
      <x:c r="AD19" s="100"/>
      <x:c r="AE19" s="13"/>
      <x:c r="AF19" s="13"/>
      <x:c r="AG19" s="13"/>
      <x:c r="AH19" s="13"/>
      <x:c r="AI19" s="13"/>
      <x:c r="AJ19" s="13"/>
      <x:c r="AK19" s="13"/>
      <x:c r="AL19" s="13"/>
      <x:c r="AM19" s="13"/>
      <x:c r="AN19" s="13"/>
      <x:c r="AO19" s="13"/>
      <x:c r="AP19" s="13"/>
      <x:c r="AQ19" s="13"/>
      <x:c r="AR19" s="13"/>
      <x:c r="AS19" s="13"/>
    </x:row>
    <x:row r="20" s="8" customFormat="1">
      <x:c r="C20" s="54">
        <x:v>2</x:v>
      </x:c>
      <x:c r="D20" s="54">
        <x:v>3</x:v>
      </x:c>
      <x:c r="E20" s="54">
        <x:v>4</x:v>
      </x:c>
      <x:c r="F20" s="54">
        <x:v>5</x:v>
      </x:c>
      <x:c r="G20" s="54">
        <x:v>6</x:v>
      </x:c>
      <x:c r="H20" s="54">
        <x:v>7</x:v>
      </x:c>
      <x:c r="I20" s="54">
        <x:v>8</x:v>
      </x:c>
      <x:c r="J20" s="54">
        <x:v>9</x:v>
      </x:c>
      <x:c r="K20" s="54">
        <x:v>10</x:v>
      </x:c>
      <x:c r="O20" s="97"/>
      <x:c r="P20" s="97"/>
      <x:c r="Q20" s="97"/>
      <x:c r="R20" s="97"/>
      <x:c r="S20" s="97"/>
      <x:c r="T20" s="97"/>
      <x:c r="U20" s="97"/>
      <x:c r="V20" s="97"/>
      <x:c r="W20" s="97"/>
      <x:c r="X20" s="104"/>
      <x:c r="Y20" s="105"/>
      <x:c r="Z20" s="106"/>
      <x:c r="AA20" s="97"/>
      <x:c r="AB20" s="97"/>
      <x:c r="AC20" s="97"/>
      <x:c r="AD20" s="97"/>
    </x:row>
    <x:row r="21" s="8" customFormat="1">
      <x:c r="O21" s="97"/>
      <x:c r="P21" s="97"/>
      <x:c r="Q21" s="97"/>
      <x:c r="R21" s="97"/>
      <x:c r="S21" s="97"/>
      <x:c r="T21" s="97"/>
      <x:c r="U21" s="97"/>
      <x:c r="V21" s="97"/>
      <x:c r="W21" s="97"/>
      <x:c r="X21" s="104"/>
      <x:c r="Y21" s="105"/>
      <x:c r="Z21" s="106"/>
      <x:c r="AA21" s="97"/>
      <x:c r="AB21" s="97"/>
      <x:c r="AC21" s="97"/>
      <x:c r="AD21" s="97"/>
    </x:row>
    <x:row r="22" s="8" customFormat="1">
      <x:c r="O22" s="97"/>
      <x:c r="P22" s="97"/>
      <x:c r="Q22" s="97"/>
      <x:c r="R22" s="97"/>
      <x:c r="S22" s="97"/>
      <x:c r="T22" s="97"/>
      <x:c r="U22" s="97"/>
      <x:c r="V22" s="97"/>
      <x:c r="W22" s="97"/>
      <x:c r="X22" s="104"/>
      <x:c r="Y22" s="105"/>
      <x:c r="Z22" s="106"/>
      <x:c r="AA22" s="97"/>
      <x:c r="AB22" s="97"/>
      <x:c r="AC22" s="97"/>
      <x:c r="AD22" s="97"/>
    </x:row>
    <x:row r="23" s="8" customFormat="1">
      <x:c r="O23" s="97"/>
      <x:c r="P23" s="97"/>
      <x:c r="Q23" s="97"/>
      <x:c r="R23" s="97"/>
      <x:c r="S23" s="97"/>
      <x:c r="T23" s="97"/>
      <x:c r="U23" s="97"/>
      <x:c r="V23" s="97"/>
      <x:c r="W23" s="97"/>
      <x:c r="X23" s="104"/>
      <x:c r="Y23" s="105"/>
      <x:c r="Z23" s="106"/>
      <x:c r="AA23" s="97"/>
      <x:c r="AB23" s="97"/>
      <x:c r="AC23" s="97"/>
      <x:c r="AD23" s="97"/>
    </x:row>
    <x:row r="24" s="8" customFormat="1">
      <x:c r="O24" s="97"/>
      <x:c r="P24" s="97"/>
      <x:c r="Q24" s="97"/>
      <x:c r="R24" s="97"/>
      <x:c r="S24" s="97"/>
      <x:c r="T24" s="97"/>
      <x:c r="U24" s="97"/>
      <x:c r="V24" s="97"/>
      <x:c r="W24" s="97"/>
      <x:c r="X24" s="97"/>
      <x:c r="Y24" s="97"/>
      <x:c r="Z24" s="97"/>
      <x:c r="AA24" s="97"/>
      <x:c r="AB24" s="97"/>
      <x:c r="AC24" s="97"/>
      <x:c r="AD24" s="97"/>
    </x:row>
    <x:row r="25" s="8" customFormat="1">
      <x:c r="O25" s="97"/>
      <x:c r="P25" s="97"/>
      <x:c r="Q25" s="97"/>
      <x:c r="R25" s="97"/>
      <x:c r="S25" s="97"/>
      <x:c r="T25" s="97"/>
      <x:c r="U25" s="97"/>
      <x:c r="V25" s="97"/>
      <x:c r="W25" s="97"/>
      <x:c r="X25" s="97"/>
      <x:c r="Y25" s="97"/>
      <x:c r="Z25" s="97"/>
      <x:c r="AA25" s="97"/>
      <x:c r="AB25" s="97"/>
      <x:c r="AC25" s="97"/>
      <x:c r="AD25" s="97"/>
    </x:row>
    <x:row r="26" s="8" customFormat="1">
      <x:c r="O26" s="97"/>
      <x:c r="P26" s="97"/>
      <x:c r="Q26" s="97"/>
      <x:c r="R26" s="97"/>
      <x:c r="S26" s="97"/>
      <x:c r="T26" s="97"/>
      <x:c r="U26" s="97"/>
      <x:c r="V26" s="97"/>
      <x:c r="W26" s="97"/>
      <x:c r="X26" s="97"/>
      <x:c r="Y26" s="97"/>
      <x:c r="Z26" s="97"/>
      <x:c r="AA26" s="97"/>
      <x:c r="AB26" s="97"/>
      <x:c r="AC26" s="97"/>
      <x:c r="AD26" s="97"/>
    </x:row>
    <x:row r="27" s="8" customFormat="1">
      <x:c r="O27" s="97"/>
      <x:c r="P27" s="97"/>
      <x:c r="Q27" s="97"/>
      <x:c r="R27" s="97"/>
      <x:c r="S27" s="97"/>
      <x:c r="T27" s="97"/>
      <x:c r="U27" s="97"/>
      <x:c r="V27" s="97"/>
      <x:c r="W27" s="97"/>
      <x:c r="X27" s="97"/>
      <x:c r="Y27" s="97"/>
      <x:c r="Z27" s="97"/>
      <x:c r="AA27" s="97"/>
      <x:c r="AB27" s="97"/>
      <x:c r="AC27" s="97"/>
      <x:c r="AD27" s="97"/>
    </x:row>
    <x:row r="28" s="8" customFormat="1">
      <x:c r="O28" s="97"/>
      <x:c r="P28" s="97"/>
      <x:c r="Q28" s="97"/>
      <x:c r="R28" s="97"/>
      <x:c r="S28" s="97"/>
      <x:c r="T28" s="97"/>
      <x:c r="U28" s="97"/>
      <x:c r="V28" s="97"/>
      <x:c r="W28" s="97"/>
      <x:c r="X28" s="97"/>
      <x:c r="Y28" s="97"/>
      <x:c r="Z28" s="97"/>
      <x:c r="AA28" s="97"/>
      <x:c r="AB28" s="97"/>
      <x:c r="AC28" s="97"/>
      <x:c r="AD28" s="97"/>
    </x:row>
    <x:row r="29" s="8" customFormat="1">
      <x:c r="O29" s="97"/>
      <x:c r="P29" s="97"/>
      <x:c r="Q29" s="97"/>
      <x:c r="R29" s="97"/>
      <x:c r="S29" s="97"/>
      <x:c r="T29" s="97"/>
      <x:c r="U29" s="97"/>
      <x:c r="V29" s="97"/>
      <x:c r="W29" s="97"/>
      <x:c r="X29" s="97"/>
      <x:c r="Y29" s="97"/>
      <x:c r="Z29" s="97"/>
      <x:c r="AA29" s="97"/>
      <x:c r="AB29" s="97"/>
      <x:c r="AC29" s="97"/>
      <x:c r="AD29" s="97"/>
    </x:row>
    <x:row r="30" s="8" customFormat="1">
      <x:c r="O30" s="97"/>
      <x:c r="P30" s="97"/>
      <x:c r="Q30" s="97"/>
      <x:c r="R30" s="97"/>
      <x:c r="S30" s="97"/>
      <x:c r="T30" s="97"/>
      <x:c r="U30" s="97"/>
      <x:c r="V30" s="97"/>
      <x:c r="W30" s="97"/>
      <x:c r="X30" s="97"/>
      <x:c r="Y30" s="97"/>
      <x:c r="Z30" s="97"/>
      <x:c r="AA30" s="97"/>
      <x:c r="AB30" s="97"/>
      <x:c r="AC30" s="97"/>
      <x:c r="AD30" s="97"/>
    </x:row>
    <x:row r="31" s="8" customFormat="1">
      <x:c r="O31" s="97"/>
      <x:c r="P31" s="97"/>
      <x:c r="Q31" s="97"/>
      <x:c r="R31" s="97"/>
      <x:c r="S31" s="97"/>
      <x:c r="T31" s="97"/>
      <x:c r="U31" s="97"/>
      <x:c r="V31" s="97"/>
      <x:c r="W31" s="97"/>
      <x:c r="X31" s="97"/>
      <x:c r="Y31" s="97"/>
      <x:c r="Z31" s="97"/>
      <x:c r="AA31" s="97"/>
      <x:c r="AB31" s="97"/>
      <x:c r="AC31" s="97"/>
      <x:c r="AD31" s="97"/>
    </x:row>
    <x:row r="32" s="8" customFormat="1">
      <x:c r="O32" s="97"/>
      <x:c r="P32" s="97"/>
      <x:c r="Q32" s="97"/>
      <x:c r="R32" s="97"/>
      <x:c r="S32" s="97"/>
      <x:c r="T32" s="97"/>
      <x:c r="U32" s="97"/>
      <x:c r="V32" s="97"/>
      <x:c r="W32" s="97"/>
      <x:c r="X32" s="97"/>
      <x:c r="Y32" s="97"/>
      <x:c r="Z32" s="97"/>
      <x:c r="AA32" s="97"/>
      <x:c r="AB32" s="97"/>
      <x:c r="AC32" s="97"/>
      <x:c r="AD32" s="97"/>
    </x:row>
    <x:row r="33" s="8" customFormat="1">
      <x:c r="O33" s="97"/>
      <x:c r="P33" s="97"/>
      <x:c r="Q33" s="97"/>
      <x:c r="R33" s="97"/>
      <x:c r="S33" s="97"/>
      <x:c r="T33" s="97"/>
      <x:c r="U33" s="97"/>
      <x:c r="V33" s="97"/>
      <x:c r="W33" s="97"/>
      <x:c r="X33" s="97"/>
      <x:c r="Y33" s="97"/>
      <x:c r="Z33" s="97"/>
      <x:c r="AA33" s="97"/>
      <x:c r="AB33" s="97"/>
      <x:c r="AC33" s="97"/>
      <x:c r="AD33" s="97"/>
    </x:row>
    <x:row r="34" s="8" customFormat="1">
      <x:c r="O34" s="97"/>
      <x:c r="P34" s="97"/>
      <x:c r="Q34" s="97"/>
      <x:c r="R34" s="97"/>
      <x:c r="S34" s="97"/>
      <x:c r="T34" s="97"/>
      <x:c r="U34" s="97"/>
      <x:c r="V34" s="97"/>
      <x:c r="W34" s="97"/>
      <x:c r="X34" s="97"/>
      <x:c r="Y34" s="97"/>
      <x:c r="Z34" s="97"/>
      <x:c r="AA34" s="97"/>
      <x:c r="AB34" s="97"/>
      <x:c r="AC34" s="97"/>
      <x:c r="AD34" s="97"/>
    </x:row>
    <x:row r="35" s="8" customFormat="1">
      <x:c r="O35" s="97"/>
      <x:c r="P35" s="97"/>
      <x:c r="Q35" s="97"/>
      <x:c r="R35" s="97"/>
      <x:c r="S35" s="97"/>
      <x:c r="T35" s="97"/>
      <x:c r="U35" s="97"/>
      <x:c r="V35" s="97"/>
      <x:c r="W35" s="97"/>
      <x:c r="X35" s="97"/>
      <x:c r="Y35" s="97"/>
      <x:c r="Z35" s="97"/>
      <x:c r="AA35" s="97"/>
      <x:c r="AB35" s="97"/>
      <x:c r="AC35" s="97"/>
      <x:c r="AD35" s="97"/>
    </x:row>
    <x:row r="36" s="8" customFormat="1">
      <x:c r="O36" s="97"/>
      <x:c r="P36" s="97"/>
      <x:c r="Q36" s="97"/>
      <x:c r="R36" s="97"/>
      <x:c r="S36" s="97"/>
      <x:c r="T36" s="97"/>
      <x:c r="U36" s="97"/>
      <x:c r="V36" s="97"/>
      <x:c r="W36" s="97"/>
      <x:c r="X36" s="97"/>
      <x:c r="Y36" s="97"/>
      <x:c r="Z36" s="97"/>
      <x:c r="AA36" s="97"/>
      <x:c r="AB36" s="97"/>
      <x:c r="AC36" s="97"/>
      <x:c r="AD36" s="97"/>
    </x:row>
    <x:row r="37" s="8" customFormat="1">
      <x:c r="O37" s="97"/>
      <x:c r="P37" s="97"/>
      <x:c r="Q37" s="97"/>
      <x:c r="R37" s="97"/>
      <x:c r="S37" s="97"/>
      <x:c r="T37" s="97"/>
      <x:c r="U37" s="97"/>
      <x:c r="V37" s="97"/>
      <x:c r="W37" s="97"/>
      <x:c r="X37" s="97"/>
      <x:c r="Y37" s="97"/>
      <x:c r="Z37" s="97"/>
      <x:c r="AA37" s="97"/>
      <x:c r="AB37" s="97"/>
      <x:c r="AC37" s="97"/>
      <x:c r="AD37" s="97"/>
    </x:row>
    <x:row r="38" s="8" customFormat="1">
      <x:c r="O38" s="97"/>
      <x:c r="P38" s="97"/>
      <x:c r="Q38" s="97"/>
      <x:c r="R38" s="97"/>
      <x:c r="S38" s="97"/>
      <x:c r="T38" s="97"/>
      <x:c r="U38" s="97"/>
      <x:c r="V38" s="97"/>
      <x:c r="W38" s="97"/>
      <x:c r="X38" s="97"/>
      <x:c r="Y38" s="97"/>
      <x:c r="Z38" s="97"/>
      <x:c r="AA38" s="97"/>
      <x:c r="AB38" s="97"/>
      <x:c r="AC38" s="97"/>
      <x:c r="AD38" s="97"/>
    </x:row>
    <x:row r="39" s="8" customFormat="1">
      <x:c r="O39" s="97"/>
      <x:c r="P39" s="97"/>
      <x:c r="Q39" s="97"/>
      <x:c r="R39" s="97"/>
      <x:c r="S39" s="97"/>
      <x:c r="T39" s="97"/>
      <x:c r="U39" s="97"/>
      <x:c r="V39" s="97"/>
      <x:c r="W39" s="97"/>
      <x:c r="X39" s="97"/>
      <x:c r="Y39" s="97"/>
      <x:c r="Z39" s="97"/>
      <x:c r="AA39" s="97"/>
      <x:c r="AB39" s="97"/>
      <x:c r="AC39" s="97"/>
      <x:c r="AD39" s="97"/>
    </x:row>
    <x:row r="40" s="8" customFormat="1">
      <x:c r="O40" s="97"/>
      <x:c r="P40" s="97"/>
      <x:c r="Q40" s="97"/>
      <x:c r="R40" s="97"/>
      <x:c r="S40" s="97"/>
      <x:c r="T40" s="97"/>
      <x:c r="U40" s="97"/>
      <x:c r="V40" s="97"/>
      <x:c r="W40" s="97"/>
      <x:c r="X40" s="97"/>
      <x:c r="Y40" s="97"/>
      <x:c r="Z40" s="97"/>
      <x:c r="AA40" s="97"/>
      <x:c r="AB40" s="97"/>
      <x:c r="AC40" s="97"/>
      <x:c r="AD40" s="97"/>
    </x:row>
    <x:row r="41" s="8" customFormat="1">
      <x:c r="O41" s="97"/>
      <x:c r="P41" s="97"/>
      <x:c r="Q41" s="97"/>
      <x:c r="R41" s="97"/>
      <x:c r="S41" s="97"/>
      <x:c r="T41" s="97"/>
      <x:c r="U41" s="97"/>
      <x:c r="V41" s="97"/>
      <x:c r="W41" s="97"/>
      <x:c r="X41" s="97"/>
      <x:c r="Y41" s="97"/>
      <x:c r="Z41" s="97"/>
      <x:c r="AA41" s="97"/>
      <x:c r="AB41" s="97"/>
      <x:c r="AC41" s="97"/>
      <x:c r="AD41" s="97"/>
    </x:row>
    <x:row r="42" s="8" customFormat="1">
      <x:c r="O42" s="97"/>
      <x:c r="P42" s="97"/>
      <x:c r="Q42" s="97"/>
      <x:c r="R42" s="97"/>
      <x:c r="S42" s="97"/>
      <x:c r="T42" s="97"/>
      <x:c r="U42" s="97"/>
      <x:c r="V42" s="97"/>
      <x:c r="W42" s="97"/>
      <x:c r="X42" s="97"/>
      <x:c r="Y42" s="97"/>
      <x:c r="Z42" s="97"/>
      <x:c r="AA42" s="97"/>
      <x:c r="AB42" s="97"/>
      <x:c r="AC42" s="97"/>
      <x:c r="AD42" s="97"/>
    </x:row>
    <x:row r="43" s="8" customFormat="1">
      <x:c r="O43" s="97"/>
      <x:c r="P43" s="97"/>
      <x:c r="Q43" s="97"/>
      <x:c r="R43" s="97"/>
      <x:c r="S43" s="97"/>
      <x:c r="T43" s="97"/>
      <x:c r="U43" s="97"/>
      <x:c r="V43" s="97"/>
      <x:c r="W43" s="97"/>
      <x:c r="X43" s="97"/>
      <x:c r="Y43" s="97"/>
      <x:c r="Z43" s="97"/>
      <x:c r="AA43" s="97"/>
      <x:c r="AB43" s="97"/>
      <x:c r="AC43" s="97"/>
      <x:c r="AD43" s="97"/>
    </x:row>
    <x:row r="44" s="8" customFormat="1">
      <x:c r="O44" s="97"/>
      <x:c r="P44" s="97"/>
      <x:c r="Q44" s="97"/>
      <x:c r="R44" s="97"/>
      <x:c r="S44" s="97"/>
      <x:c r="T44" s="97"/>
      <x:c r="U44" s="97"/>
      <x:c r="V44" s="97"/>
      <x:c r="W44" s="97"/>
      <x:c r="X44" s="97"/>
      <x:c r="Y44" s="97"/>
      <x:c r="Z44" s="97"/>
      <x:c r="AA44" s="97"/>
      <x:c r="AB44" s="97"/>
      <x:c r="AC44" s="97"/>
      <x:c r="AD44" s="97"/>
    </x:row>
    <x:row r="45" s="8" customFormat="1">
      <x:c r="O45" s="97"/>
      <x:c r="P45" s="97"/>
      <x:c r="Q45" s="97"/>
      <x:c r="R45" s="97"/>
      <x:c r="S45" s="97"/>
      <x:c r="T45" s="97"/>
      <x:c r="U45" s="97"/>
      <x:c r="V45" s="97"/>
      <x:c r="W45" s="97"/>
      <x:c r="X45" s="97"/>
      <x:c r="Y45" s="97"/>
      <x:c r="Z45" s="97"/>
      <x:c r="AA45" s="97"/>
      <x:c r="AB45" s="97"/>
      <x:c r="AC45" s="97"/>
      <x:c r="AD45" s="97"/>
    </x:row>
    <x:row r="46" s="8" customFormat="1">
      <x:c r="O46" s="97"/>
      <x:c r="P46" s="97"/>
      <x:c r="Q46" s="97"/>
      <x:c r="R46" s="97"/>
      <x:c r="S46" s="97"/>
      <x:c r="T46" s="97"/>
      <x:c r="U46" s="97"/>
      <x:c r="V46" s="97"/>
      <x:c r="W46" s="97"/>
      <x:c r="X46" s="97"/>
      <x:c r="Y46" s="97"/>
      <x:c r="Z46" s="97"/>
      <x:c r="AA46" s="97"/>
      <x:c r="AB46" s="97"/>
      <x:c r="AC46" s="97"/>
      <x:c r="AD46" s="97"/>
    </x:row>
    <x:row r="47" s="8" customFormat="1">
      <x:c r="O47" s="97"/>
      <x:c r="P47" s="97"/>
      <x:c r="Q47" s="97"/>
      <x:c r="R47" s="97"/>
      <x:c r="S47" s="97"/>
      <x:c r="T47" s="97"/>
      <x:c r="U47" s="97"/>
      <x:c r="V47" s="97"/>
      <x:c r="W47" s="97"/>
      <x:c r="X47" s="97"/>
      <x:c r="Y47" s="97"/>
      <x:c r="Z47" s="97"/>
      <x:c r="AA47" s="97"/>
      <x:c r="AB47" s="97"/>
      <x:c r="AC47" s="97"/>
      <x:c r="AD47" s="97"/>
    </x:row>
    <x:row r="48" s="8" customFormat="1">
      <x:c r="O48" s="97"/>
      <x:c r="P48" s="97"/>
      <x:c r="Q48" s="97"/>
      <x:c r="R48" s="97"/>
      <x:c r="S48" s="97"/>
      <x:c r="T48" s="97"/>
      <x:c r="U48" s="97"/>
      <x:c r="V48" s="97"/>
      <x:c r="W48" s="97"/>
      <x:c r="X48" s="97"/>
      <x:c r="Y48" s="97"/>
      <x:c r="Z48" s="97"/>
      <x:c r="AA48" s="97"/>
      <x:c r="AB48" s="97"/>
      <x:c r="AC48" s="97"/>
      <x:c r="AD48" s="97"/>
    </x:row>
    <x:row r="49" s="8" customFormat="1">
      <x:c r="O49" s="97"/>
      <x:c r="P49" s="97"/>
      <x:c r="Q49" s="97"/>
      <x:c r="R49" s="97"/>
      <x:c r="S49" s="97"/>
      <x:c r="T49" s="97"/>
      <x:c r="U49" s="97"/>
      <x:c r="V49" s="97"/>
      <x:c r="W49" s="97"/>
      <x:c r="X49" s="97"/>
      <x:c r="Y49" s="97"/>
      <x:c r="Z49" s="97"/>
      <x:c r="AA49" s="97"/>
      <x:c r="AB49" s="97"/>
      <x:c r="AC49" s="97"/>
      <x:c r="AD49" s="97"/>
    </x:row>
    <x:row r="50" s="8" customFormat="1">
      <x:c r="O50" s="97"/>
      <x:c r="P50" s="97"/>
      <x:c r="Q50" s="97"/>
      <x:c r="R50" s="97"/>
      <x:c r="S50" s="97"/>
      <x:c r="T50" s="97"/>
      <x:c r="U50" s="97"/>
      <x:c r="V50" s="97"/>
      <x:c r="W50" s="97"/>
      <x:c r="X50" s="97"/>
      <x:c r="Y50" s="97"/>
      <x:c r="Z50" s="97"/>
      <x:c r="AA50" s="97"/>
      <x:c r="AB50" s="97"/>
      <x:c r="AC50" s="97"/>
      <x:c r="AD50" s="97"/>
    </x:row>
    <x:row r="51" s="8" customFormat="1">
      <x:c r="O51" s="97"/>
      <x:c r="P51" s="97"/>
      <x:c r="Q51" s="97"/>
      <x:c r="R51" s="97"/>
      <x:c r="S51" s="97"/>
      <x:c r="T51" s="97"/>
      <x:c r="U51" s="97"/>
      <x:c r="V51" s="97"/>
      <x:c r="W51" s="97"/>
      <x:c r="X51" s="97"/>
      <x:c r="Y51" s="97"/>
      <x:c r="Z51" s="97"/>
      <x:c r="AA51" s="97"/>
      <x:c r="AB51" s="97"/>
      <x:c r="AC51" s="97"/>
      <x:c r="AD51" s="97"/>
    </x:row>
    <x:row r="52" s="8" customFormat="1">
      <x:c r="O52" s="97"/>
      <x:c r="P52" s="97"/>
      <x:c r="Q52" s="97"/>
      <x:c r="R52" s="97"/>
      <x:c r="S52" s="97"/>
      <x:c r="T52" s="97"/>
      <x:c r="U52" s="97"/>
      <x:c r="V52" s="97"/>
      <x:c r="W52" s="97"/>
      <x:c r="X52" s="97"/>
      <x:c r="Y52" s="97"/>
      <x:c r="Z52" s="97"/>
      <x:c r="AA52" s="97"/>
      <x:c r="AB52" s="97"/>
      <x:c r="AC52" s="97"/>
      <x:c r="AD52" s="97"/>
    </x:row>
    <x:row r="53" s="8" customFormat="1">
      <x:c r="O53" s="97"/>
      <x:c r="P53" s="97"/>
      <x:c r="Q53" s="97"/>
      <x:c r="R53" s="97"/>
      <x:c r="S53" s="97"/>
      <x:c r="T53" s="97"/>
      <x:c r="U53" s="97"/>
      <x:c r="V53" s="97"/>
      <x:c r="W53" s="97"/>
      <x:c r="X53" s="97"/>
      <x:c r="Y53" s="97"/>
      <x:c r="Z53" s="97"/>
      <x:c r="AA53" s="97"/>
      <x:c r="AB53" s="97"/>
      <x:c r="AC53" s="97"/>
      <x:c r="AD53" s="97"/>
    </x:row>
    <x:row r="54" s="8" customFormat="1">
      <x:c r="O54" s="97"/>
      <x:c r="P54" s="97"/>
      <x:c r="Q54" s="97"/>
      <x:c r="R54" s="97"/>
      <x:c r="S54" s="97"/>
      <x:c r="T54" s="97"/>
      <x:c r="U54" s="97"/>
      <x:c r="V54" s="97"/>
      <x:c r="W54" s="97"/>
      <x:c r="X54" s="97"/>
      <x:c r="Y54" s="97"/>
      <x:c r="Z54" s="97"/>
      <x:c r="AA54" s="97"/>
      <x:c r="AB54" s="97"/>
      <x:c r="AC54" s="97"/>
      <x:c r="AD54" s="97"/>
    </x:row>
    <x:row r="55" s="8" customFormat="1">
      <x:c r="O55" s="97"/>
      <x:c r="P55" s="97"/>
      <x:c r="Q55" s="97"/>
      <x:c r="R55" s="97"/>
      <x:c r="S55" s="97"/>
      <x:c r="T55" s="97"/>
      <x:c r="U55" s="97"/>
      <x:c r="V55" s="97"/>
      <x:c r="W55" s="97"/>
      <x:c r="X55" s="97"/>
      <x:c r="Y55" s="97"/>
      <x:c r="Z55" s="97"/>
      <x:c r="AA55" s="97"/>
      <x:c r="AB55" s="97"/>
      <x:c r="AC55" s="97"/>
      <x:c r="AD55" s="97"/>
    </x:row>
    <x:row r="56" s="8" customFormat="1">
      <x:c r="O56" s="97"/>
      <x:c r="P56" s="97"/>
      <x:c r="Q56" s="97"/>
      <x:c r="R56" s="97"/>
      <x:c r="S56" s="97"/>
      <x:c r="T56" s="97"/>
      <x:c r="U56" s="97"/>
      <x:c r="V56" s="97"/>
      <x:c r="W56" s="97"/>
      <x:c r="X56" s="97"/>
      <x:c r="Y56" s="97"/>
      <x:c r="Z56" s="97"/>
      <x:c r="AA56" s="97"/>
      <x:c r="AB56" s="97"/>
      <x:c r="AC56" s="97"/>
      <x:c r="AD56" s="97"/>
    </x:row>
    <x:row r="57" s="8" customFormat="1">
      <x:c r="O57" s="97"/>
      <x:c r="P57" s="97"/>
      <x:c r="Q57" s="97"/>
      <x:c r="R57" s="97"/>
      <x:c r="S57" s="97"/>
      <x:c r="T57" s="97"/>
      <x:c r="U57" s="97"/>
      <x:c r="V57" s="97"/>
      <x:c r="W57" s="97"/>
      <x:c r="X57" s="97"/>
      <x:c r="Y57" s="97"/>
      <x:c r="Z57" s="97"/>
      <x:c r="AA57" s="97"/>
      <x:c r="AB57" s="97"/>
      <x:c r="AC57" s="97"/>
      <x:c r="AD57" s="97"/>
    </x:row>
    <x:row r="58" s="8" customFormat="1">
      <x:c r="O58" s="97"/>
      <x:c r="P58" s="97"/>
      <x:c r="Q58" s="97"/>
      <x:c r="R58" s="97"/>
      <x:c r="S58" s="97"/>
      <x:c r="T58" s="97"/>
      <x:c r="U58" s="97"/>
      <x:c r="V58" s="97"/>
      <x:c r="W58" s="97"/>
      <x:c r="X58" s="97"/>
      <x:c r="Y58" s="97"/>
      <x:c r="Z58" s="97"/>
      <x:c r="AA58" s="97"/>
      <x:c r="AB58" s="97"/>
      <x:c r="AC58" s="97"/>
      <x:c r="AD58" s="97"/>
    </x:row>
    <x:row r="59" s="8" customFormat="1">
      <x:c r="O59" s="97"/>
      <x:c r="P59" s="97"/>
      <x:c r="Q59" s="97"/>
      <x:c r="R59" s="97"/>
      <x:c r="S59" s="97"/>
      <x:c r="T59" s="97"/>
      <x:c r="U59" s="97"/>
      <x:c r="V59" s="97"/>
      <x:c r="W59" s="97"/>
      <x:c r="X59" s="97"/>
      <x:c r="Y59" s="97"/>
      <x:c r="Z59" s="97"/>
      <x:c r="AA59" s="97"/>
      <x:c r="AB59" s="97"/>
      <x:c r="AC59" s="97"/>
      <x:c r="AD59" s="97"/>
    </x:row>
    <x:row r="60" s="8" customFormat="1">
      <x:c r="O60" s="97"/>
      <x:c r="P60" s="97"/>
      <x:c r="Q60" s="97"/>
      <x:c r="R60" s="97"/>
      <x:c r="S60" s="97"/>
      <x:c r="T60" s="97"/>
      <x:c r="U60" s="97"/>
      <x:c r="V60" s="97"/>
      <x:c r="W60" s="97"/>
      <x:c r="X60" s="97"/>
      <x:c r="Y60" s="97"/>
      <x:c r="Z60" s="97"/>
      <x:c r="AA60" s="97"/>
      <x:c r="AB60" s="97"/>
      <x:c r="AC60" s="97"/>
      <x:c r="AD60" s="97"/>
    </x:row>
    <x:row r="61" s="8" customFormat="1">
      <x:c r="O61" s="97"/>
      <x:c r="P61" s="97"/>
      <x:c r="Q61" s="97"/>
      <x:c r="R61" s="97"/>
      <x:c r="S61" s="97"/>
      <x:c r="T61" s="97"/>
      <x:c r="U61" s="97"/>
      <x:c r="V61" s="97"/>
      <x:c r="W61" s="97"/>
      <x:c r="X61" s="97"/>
      <x:c r="Y61" s="97"/>
      <x:c r="Z61" s="97"/>
      <x:c r="AA61" s="97"/>
      <x:c r="AB61" s="97"/>
      <x:c r="AC61" s="97"/>
      <x:c r="AD61" s="97"/>
    </x:row>
    <x:row r="62" s="8" customFormat="1">
      <x:c r="O62" s="97"/>
      <x:c r="P62" s="97"/>
      <x:c r="Q62" s="97"/>
      <x:c r="R62" s="97"/>
      <x:c r="S62" s="97"/>
      <x:c r="T62" s="97"/>
      <x:c r="U62" s="97"/>
      <x:c r="V62" s="97"/>
      <x:c r="W62" s="97"/>
      <x:c r="X62" s="97"/>
      <x:c r="Y62" s="97"/>
      <x:c r="Z62" s="97"/>
      <x:c r="AA62" s="97"/>
      <x:c r="AB62" s="97"/>
      <x:c r="AC62" s="97"/>
      <x:c r="AD62" s="97"/>
    </x:row>
    <x:row r="63" s="8" customFormat="1">
      <x:c r="O63" s="97"/>
      <x:c r="P63" s="97"/>
      <x:c r="Q63" s="97"/>
      <x:c r="R63" s="97"/>
      <x:c r="S63" s="97"/>
      <x:c r="T63" s="97"/>
      <x:c r="U63" s="97"/>
      <x:c r="V63" s="97"/>
      <x:c r="W63" s="97"/>
      <x:c r="X63" s="97"/>
      <x:c r="Y63" s="97"/>
      <x:c r="Z63" s="97"/>
      <x:c r="AA63" s="97"/>
      <x:c r="AB63" s="97"/>
      <x:c r="AC63" s="97"/>
      <x:c r="AD63" s="97"/>
    </x:row>
    <x:row r="64" s="8" customFormat="1">
      <x:c r="O64" s="97"/>
      <x:c r="P64" s="97"/>
      <x:c r="Q64" s="97"/>
      <x:c r="R64" s="97"/>
      <x:c r="S64" s="97"/>
      <x:c r="T64" s="97"/>
      <x:c r="U64" s="97"/>
      <x:c r="V64" s="97"/>
      <x:c r="W64" s="97"/>
      <x:c r="X64" s="97"/>
      <x:c r="Y64" s="97"/>
      <x:c r="Z64" s="97"/>
      <x:c r="AA64" s="97"/>
      <x:c r="AB64" s="97"/>
      <x:c r="AC64" s="97"/>
      <x:c r="AD64" s="97"/>
    </x:row>
    <x:row r="65" s="8" customFormat="1">
      <x:c r="O65" s="97"/>
      <x:c r="P65" s="97"/>
      <x:c r="Q65" s="97"/>
      <x:c r="R65" s="97"/>
      <x:c r="S65" s="97"/>
      <x:c r="T65" s="97"/>
      <x:c r="U65" s="97"/>
      <x:c r="V65" s="97"/>
      <x:c r="W65" s="97"/>
      <x:c r="X65" s="97"/>
      <x:c r="Y65" s="97"/>
      <x:c r="Z65" s="97"/>
      <x:c r="AA65" s="97"/>
      <x:c r="AB65" s="97"/>
      <x:c r="AC65" s="97"/>
      <x:c r="AD65" s="97"/>
    </x:row>
    <x:row r="66" s="8" customFormat="1">
      <x:c r="O66" s="97"/>
      <x:c r="P66" s="97"/>
      <x:c r="Q66" s="97"/>
      <x:c r="R66" s="97"/>
      <x:c r="S66" s="97"/>
      <x:c r="T66" s="97"/>
      <x:c r="U66" s="97"/>
      <x:c r="V66" s="97"/>
      <x:c r="W66" s="97"/>
      <x:c r="X66" s="97"/>
      <x:c r="Y66" s="97"/>
      <x:c r="Z66" s="97"/>
      <x:c r="AA66" s="97"/>
      <x:c r="AB66" s="97"/>
      <x:c r="AC66" s="97"/>
      <x:c r="AD66" s="97"/>
    </x:row>
    <x:row r="67" s="8" customFormat="1">
      <x:c r="O67" s="97"/>
      <x:c r="P67" s="97"/>
      <x:c r="Q67" s="97"/>
      <x:c r="R67" s="97"/>
      <x:c r="S67" s="97"/>
      <x:c r="T67" s="97"/>
      <x:c r="U67" s="97"/>
      <x:c r="V67" s="97"/>
      <x:c r="W67" s="97"/>
      <x:c r="X67" s="97"/>
      <x:c r="Y67" s="97"/>
      <x:c r="Z67" s="97"/>
      <x:c r="AA67" s="97"/>
      <x:c r="AB67" s="97"/>
      <x:c r="AC67" s="97"/>
      <x:c r="AD67" s="97"/>
    </x:row>
    <x:row r="68" s="8" customFormat="1">
      <x:c r="O68" s="97"/>
      <x:c r="P68" s="97"/>
      <x:c r="Q68" s="97"/>
      <x:c r="R68" s="97"/>
      <x:c r="S68" s="97"/>
      <x:c r="T68" s="97"/>
      <x:c r="U68" s="97"/>
      <x:c r="V68" s="97"/>
      <x:c r="W68" s="97"/>
      <x:c r="X68" s="97"/>
      <x:c r="Y68" s="97"/>
      <x:c r="Z68" s="97"/>
      <x:c r="AA68" s="97"/>
      <x:c r="AB68" s="97"/>
      <x:c r="AC68" s="97"/>
      <x:c r="AD68" s="97"/>
    </x:row>
    <x:row r="69" s="8" customFormat="1">
      <x:c r="O69" s="97"/>
      <x:c r="P69" s="97"/>
      <x:c r="Q69" s="97"/>
      <x:c r="R69" s="97"/>
      <x:c r="S69" s="97"/>
      <x:c r="T69" s="97"/>
      <x:c r="U69" s="97"/>
      <x:c r="V69" s="97"/>
      <x:c r="W69" s="97"/>
      <x:c r="X69" s="97"/>
      <x:c r="Y69" s="97"/>
      <x:c r="Z69" s="97"/>
      <x:c r="AA69" s="97"/>
      <x:c r="AB69" s="97"/>
      <x:c r="AC69" s="97"/>
      <x:c r="AD69" s="97"/>
    </x:row>
    <x:row r="70" s="8" customFormat="1">
      <x:c r="O70" s="97"/>
      <x:c r="P70" s="97"/>
      <x:c r="Q70" s="97"/>
      <x:c r="R70" s="97"/>
      <x:c r="S70" s="97"/>
      <x:c r="T70" s="97"/>
      <x:c r="U70" s="97"/>
      <x:c r="V70" s="97"/>
      <x:c r="W70" s="97"/>
      <x:c r="X70" s="97"/>
      <x:c r="Y70" s="97"/>
      <x:c r="Z70" s="97"/>
      <x:c r="AA70" s="97"/>
      <x:c r="AB70" s="97"/>
      <x:c r="AC70" s="97"/>
      <x:c r="AD70" s="97"/>
    </x:row>
    <x:row r="71" s="8" customFormat="1">
      <x:c r="O71" s="97"/>
      <x:c r="P71" s="97"/>
      <x:c r="Q71" s="97"/>
      <x:c r="R71" s="97"/>
      <x:c r="S71" s="97"/>
      <x:c r="T71" s="97"/>
      <x:c r="U71" s="97"/>
      <x:c r="V71" s="97"/>
      <x:c r="W71" s="97"/>
      <x:c r="X71" s="97"/>
      <x:c r="Y71" s="97"/>
      <x:c r="Z71" s="97"/>
      <x:c r="AA71" s="97"/>
      <x:c r="AB71" s="97"/>
      <x:c r="AC71" s="97"/>
      <x:c r="AD71" s="97"/>
    </x:row>
    <x:row r="72" s="8" customFormat="1">
      <x:c r="O72" s="97"/>
      <x:c r="P72" s="97"/>
      <x:c r="Q72" s="97"/>
      <x:c r="R72" s="97"/>
      <x:c r="S72" s="97"/>
      <x:c r="T72" s="97"/>
      <x:c r="U72" s="97"/>
      <x:c r="V72" s="97"/>
      <x:c r="W72" s="97"/>
      <x:c r="X72" s="97"/>
      <x:c r="Y72" s="97"/>
      <x:c r="Z72" s="97"/>
      <x:c r="AA72" s="97"/>
      <x:c r="AB72" s="97"/>
      <x:c r="AC72" s="97"/>
      <x:c r="AD72" s="97"/>
    </x:row>
    <x:row r="73" s="8" customFormat="1">
      <x:c r="O73" s="97"/>
      <x:c r="P73" s="97"/>
      <x:c r="Q73" s="97"/>
      <x:c r="R73" s="97"/>
      <x:c r="S73" s="97"/>
      <x:c r="T73" s="97"/>
      <x:c r="U73" s="97"/>
      <x:c r="V73" s="97"/>
      <x:c r="W73" s="97"/>
      <x:c r="X73" s="97"/>
      <x:c r="Y73" s="97"/>
      <x:c r="Z73" s="97"/>
      <x:c r="AA73" s="97"/>
      <x:c r="AB73" s="97"/>
      <x:c r="AC73" s="97"/>
      <x:c r="AD73" s="97"/>
    </x:row>
    <x:row r="74" s="8" customFormat="1">
      <x:c r="O74" s="97"/>
      <x:c r="P74" s="97"/>
      <x:c r="Q74" s="97"/>
      <x:c r="R74" s="97"/>
      <x:c r="S74" s="97"/>
      <x:c r="T74" s="97"/>
      <x:c r="U74" s="97"/>
      <x:c r="V74" s="97"/>
      <x:c r="W74" s="97"/>
      <x:c r="X74" s="97"/>
      <x:c r="Y74" s="97"/>
      <x:c r="Z74" s="97"/>
      <x:c r="AA74" s="97"/>
      <x:c r="AB74" s="97"/>
      <x:c r="AC74" s="97"/>
      <x:c r="AD74" s="97"/>
    </x:row>
    <x:row r="75" s="8" customFormat="1">
      <x:c r="O75" s="97"/>
      <x:c r="P75" s="97"/>
      <x:c r="Q75" s="97"/>
      <x:c r="R75" s="97"/>
      <x:c r="S75" s="97"/>
      <x:c r="T75" s="97"/>
      <x:c r="U75" s="97"/>
      <x:c r="V75" s="97"/>
      <x:c r="W75" s="97"/>
      <x:c r="X75" s="97"/>
      <x:c r="Y75" s="97"/>
      <x:c r="Z75" s="97"/>
      <x:c r="AA75" s="97"/>
      <x:c r="AB75" s="97"/>
      <x:c r="AC75" s="97"/>
      <x:c r="AD75" s="97"/>
    </x:row>
    <x:row r="76" s="8" customFormat="1">
      <x:c r="O76" s="97"/>
      <x:c r="P76" s="97"/>
      <x:c r="Q76" s="97"/>
      <x:c r="R76" s="97"/>
      <x:c r="S76" s="97"/>
      <x:c r="T76" s="97"/>
      <x:c r="U76" s="97"/>
      <x:c r="V76" s="97"/>
      <x:c r="W76" s="97"/>
      <x:c r="X76" s="97"/>
      <x:c r="Y76" s="97"/>
      <x:c r="Z76" s="97"/>
      <x:c r="AA76" s="97"/>
      <x:c r="AB76" s="97"/>
      <x:c r="AC76" s="97"/>
      <x:c r="AD76" s="97"/>
    </x:row>
    <x:row r="77" s="8" customFormat="1">
      <x:c r="O77" s="97"/>
      <x:c r="P77" s="97"/>
      <x:c r="Q77" s="97"/>
      <x:c r="R77" s="97"/>
      <x:c r="S77" s="97"/>
      <x:c r="T77" s="97"/>
      <x:c r="U77" s="97"/>
      <x:c r="V77" s="97"/>
      <x:c r="W77" s="97"/>
      <x:c r="X77" s="97"/>
      <x:c r="Y77" s="97"/>
      <x:c r="Z77" s="97"/>
      <x:c r="AA77" s="97"/>
      <x:c r="AB77" s="97"/>
      <x:c r="AC77" s="97"/>
      <x:c r="AD77" s="97"/>
    </x:row>
    <x:row r="78" s="8" customFormat="1">
      <x:c r="O78" s="97"/>
      <x:c r="P78" s="97"/>
      <x:c r="Q78" s="97"/>
      <x:c r="R78" s="97"/>
      <x:c r="S78" s="97"/>
      <x:c r="T78" s="97"/>
      <x:c r="U78" s="97"/>
      <x:c r="V78" s="97"/>
      <x:c r="W78" s="97"/>
      <x:c r="X78" s="97"/>
      <x:c r="Y78" s="97"/>
      <x:c r="Z78" s="97"/>
      <x:c r="AA78" s="97"/>
      <x:c r="AB78" s="97"/>
      <x:c r="AC78" s="97"/>
      <x:c r="AD78" s="97"/>
    </x:row>
    <x:row r="79" s="8" customFormat="1">
      <x:c r="O79" s="97"/>
      <x:c r="P79" s="97"/>
      <x:c r="Q79" s="97"/>
      <x:c r="R79" s="97"/>
      <x:c r="S79" s="97"/>
      <x:c r="T79" s="97"/>
      <x:c r="U79" s="97"/>
      <x:c r="V79" s="97"/>
      <x:c r="W79" s="97"/>
      <x:c r="X79" s="97"/>
      <x:c r="Y79" s="97"/>
      <x:c r="Z79" s="97"/>
      <x:c r="AA79" s="97"/>
      <x:c r="AB79" s="97"/>
      <x:c r="AC79" s="97"/>
      <x:c r="AD79" s="97"/>
    </x:row>
    <x:row r="80" s="8" customFormat="1">
      <x:c r="O80" s="97"/>
      <x:c r="P80" s="97"/>
      <x:c r="Q80" s="97"/>
      <x:c r="R80" s="97"/>
      <x:c r="S80" s="97"/>
      <x:c r="T80" s="97"/>
      <x:c r="U80" s="97"/>
      <x:c r="V80" s="97"/>
      <x:c r="W80" s="97"/>
      <x:c r="X80" s="97"/>
      <x:c r="Y80" s="97"/>
      <x:c r="Z80" s="97"/>
      <x:c r="AA80" s="97"/>
      <x:c r="AB80" s="97"/>
      <x:c r="AC80" s="97"/>
      <x:c r="AD80" s="97"/>
    </x:row>
    <x:row r="81" s="8" customFormat="1">
      <x:c r="O81" s="97"/>
      <x:c r="P81" s="97"/>
      <x:c r="Q81" s="97"/>
      <x:c r="R81" s="97"/>
      <x:c r="S81" s="97"/>
      <x:c r="T81" s="97"/>
      <x:c r="U81" s="97"/>
      <x:c r="V81" s="97"/>
      <x:c r="W81" s="97"/>
      <x:c r="X81" s="97"/>
      <x:c r="Y81" s="97"/>
      <x:c r="Z81" s="97"/>
      <x:c r="AA81" s="97"/>
      <x:c r="AB81" s="97"/>
      <x:c r="AC81" s="97"/>
      <x:c r="AD81" s="97"/>
    </x:row>
    <x:row r="82" s="8" customFormat="1">
      <x:c r="O82" s="97"/>
      <x:c r="P82" s="97"/>
      <x:c r="Q82" s="97"/>
      <x:c r="R82" s="97"/>
      <x:c r="S82" s="97"/>
      <x:c r="T82" s="97"/>
      <x:c r="U82" s="97"/>
      <x:c r="V82" s="97"/>
      <x:c r="W82" s="97"/>
      <x:c r="X82" s="97"/>
      <x:c r="Y82" s="97"/>
      <x:c r="Z82" s="97"/>
      <x:c r="AA82" s="97"/>
      <x:c r="AB82" s="97"/>
      <x:c r="AC82" s="97"/>
      <x:c r="AD82" s="97"/>
    </x:row>
    <x:row r="83" s="8" customFormat="1">
      <x:c r="O83" s="97"/>
      <x:c r="P83" s="97"/>
      <x:c r="Q83" s="97"/>
      <x:c r="R83" s="97"/>
      <x:c r="S83" s="97"/>
      <x:c r="T83" s="97"/>
      <x:c r="U83" s="97"/>
      <x:c r="V83" s="97"/>
      <x:c r="W83" s="97"/>
      <x:c r="X83" s="97"/>
      <x:c r="Y83" s="97"/>
      <x:c r="Z83" s="97"/>
      <x:c r="AA83" s="97"/>
      <x:c r="AB83" s="97"/>
      <x:c r="AC83" s="97"/>
      <x:c r="AD83" s="97"/>
    </x:row>
    <x:row r="84" s="8" customFormat="1">
      <x:c r="O84" s="97"/>
      <x:c r="P84" s="97"/>
      <x:c r="Q84" s="97"/>
      <x:c r="R84" s="97"/>
      <x:c r="S84" s="97"/>
      <x:c r="T84" s="97"/>
      <x:c r="U84" s="97"/>
      <x:c r="V84" s="97"/>
      <x:c r="W84" s="97"/>
      <x:c r="X84" s="97"/>
      <x:c r="Y84" s="97"/>
      <x:c r="Z84" s="97"/>
      <x:c r="AA84" s="97"/>
      <x:c r="AB84" s="97"/>
      <x:c r="AC84" s="97"/>
      <x:c r="AD84" s="97"/>
    </x:row>
    <x:row r="85" s="8" customFormat="1">
      <x:c r="O85" s="97"/>
      <x:c r="P85" s="97"/>
      <x:c r="Q85" s="97"/>
      <x:c r="R85" s="97"/>
      <x:c r="S85" s="97"/>
      <x:c r="T85" s="97"/>
      <x:c r="U85" s="97"/>
      <x:c r="V85" s="97"/>
      <x:c r="W85" s="97"/>
      <x:c r="X85" s="97"/>
      <x:c r="Y85" s="97"/>
      <x:c r="Z85" s="97"/>
      <x:c r="AA85" s="97"/>
      <x:c r="AB85" s="97"/>
      <x:c r="AC85" s="97"/>
      <x:c r="AD85" s="97"/>
    </x:row>
    <x:row r="86" s="8" customFormat="1">
      <x:c r="O86" s="97"/>
      <x:c r="P86" s="97"/>
      <x:c r="Q86" s="97"/>
      <x:c r="R86" s="97"/>
      <x:c r="S86" s="97"/>
      <x:c r="T86" s="97"/>
      <x:c r="U86" s="97"/>
      <x:c r="V86" s="97"/>
      <x:c r="W86" s="97"/>
      <x:c r="X86" s="97"/>
      <x:c r="Y86" s="97"/>
      <x:c r="Z86" s="97"/>
      <x:c r="AA86" s="97"/>
      <x:c r="AB86" s="97"/>
      <x:c r="AC86" s="97"/>
      <x:c r="AD86" s="97"/>
    </x:row>
    <x:row r="87" s="8" customFormat="1">
      <x:c r="O87" s="97"/>
      <x:c r="P87" s="97"/>
      <x:c r="Q87" s="97"/>
      <x:c r="R87" s="97"/>
      <x:c r="S87" s="97"/>
      <x:c r="T87" s="97"/>
      <x:c r="U87" s="97"/>
      <x:c r="V87" s="97"/>
      <x:c r="W87" s="97"/>
      <x:c r="X87" s="97"/>
      <x:c r="Y87" s="97"/>
      <x:c r="Z87" s="97"/>
      <x:c r="AA87" s="97"/>
      <x:c r="AB87" s="97"/>
      <x:c r="AC87" s="97"/>
      <x:c r="AD87" s="97"/>
    </x:row>
    <x:row r="88" s="8" customFormat="1">
      <x:c r="O88" s="97"/>
      <x:c r="P88" s="97"/>
      <x:c r="Q88" s="97"/>
      <x:c r="R88" s="97"/>
      <x:c r="S88" s="97"/>
      <x:c r="T88" s="97"/>
      <x:c r="U88" s="97"/>
      <x:c r="V88" s="97"/>
      <x:c r="W88" s="97"/>
      <x:c r="X88" s="97"/>
      <x:c r="Y88" s="97"/>
      <x:c r="Z88" s="97"/>
      <x:c r="AA88" s="97"/>
      <x:c r="AB88" s="97"/>
      <x:c r="AC88" s="97"/>
      <x:c r="AD88" s="97"/>
    </x:row>
    <x:row r="89" s="8" customFormat="1">
      <x:c r="O89" s="97"/>
      <x:c r="P89" s="97"/>
      <x:c r="Q89" s="97"/>
      <x:c r="R89" s="97"/>
      <x:c r="S89" s="97"/>
      <x:c r="T89" s="97"/>
      <x:c r="U89" s="97"/>
      <x:c r="V89" s="97"/>
      <x:c r="W89" s="97"/>
      <x:c r="X89" s="97"/>
      <x:c r="Y89" s="97"/>
      <x:c r="Z89" s="97"/>
      <x:c r="AA89" s="97"/>
      <x:c r="AB89" s="97"/>
      <x:c r="AC89" s="97"/>
      <x:c r="AD89" s="97"/>
    </x:row>
    <x:row r="90" s="8" customFormat="1">
      <x:c r="O90" s="97"/>
      <x:c r="P90" s="97"/>
      <x:c r="Q90" s="97"/>
      <x:c r="R90" s="97"/>
      <x:c r="S90" s="97"/>
      <x:c r="T90" s="97"/>
      <x:c r="U90" s="97"/>
      <x:c r="V90" s="97"/>
      <x:c r="W90" s="97"/>
      <x:c r="X90" s="97"/>
      <x:c r="Y90" s="97"/>
      <x:c r="Z90" s="97"/>
      <x:c r="AA90" s="97"/>
      <x:c r="AB90" s="97"/>
      <x:c r="AC90" s="97"/>
      <x:c r="AD90" s="97"/>
    </x:row>
    <x:row r="91" s="8" customFormat="1">
      <x:c r="O91" s="97"/>
      <x:c r="P91" s="97"/>
      <x:c r="Q91" s="97"/>
      <x:c r="R91" s="97"/>
      <x:c r="S91" s="97"/>
      <x:c r="T91" s="97"/>
      <x:c r="U91" s="97"/>
      <x:c r="V91" s="97"/>
      <x:c r="W91" s="97"/>
      <x:c r="X91" s="97"/>
      <x:c r="Y91" s="97"/>
      <x:c r="Z91" s="97"/>
      <x:c r="AA91" s="97"/>
      <x:c r="AB91" s="97"/>
      <x:c r="AC91" s="97"/>
      <x:c r="AD91" s="97"/>
    </x:row>
    <x:row r="92" s="8" customFormat="1">
      <x:c r="O92" s="97"/>
      <x:c r="P92" s="97"/>
      <x:c r="Q92" s="97"/>
      <x:c r="R92" s="97"/>
      <x:c r="S92" s="97"/>
      <x:c r="T92" s="97"/>
      <x:c r="U92" s="97"/>
      <x:c r="V92" s="97"/>
      <x:c r="W92" s="97"/>
      <x:c r="X92" s="97"/>
      <x:c r="Y92" s="97"/>
      <x:c r="Z92" s="97"/>
      <x:c r="AA92" s="97"/>
      <x:c r="AB92" s="97"/>
      <x:c r="AC92" s="97"/>
      <x:c r="AD92" s="97"/>
    </x:row>
    <x:row r="93" s="8" customFormat="1">
      <x:c r="O93" s="97"/>
      <x:c r="P93" s="97"/>
      <x:c r="Q93" s="97"/>
      <x:c r="R93" s="97"/>
      <x:c r="S93" s="97"/>
      <x:c r="T93" s="97"/>
      <x:c r="U93" s="97"/>
      <x:c r="V93" s="97"/>
      <x:c r="W93" s="97"/>
      <x:c r="X93" s="97"/>
      <x:c r="Y93" s="97"/>
      <x:c r="Z93" s="97"/>
      <x:c r="AA93" s="97"/>
      <x:c r="AB93" s="97"/>
      <x:c r="AC93" s="97"/>
      <x:c r="AD93" s="97"/>
    </x:row>
    <x:row r="94" s="8" customFormat="1">
      <x:c r="O94" s="97"/>
      <x:c r="P94" s="97"/>
      <x:c r="Q94" s="97"/>
      <x:c r="R94" s="97"/>
      <x:c r="S94" s="97"/>
      <x:c r="T94" s="97"/>
      <x:c r="U94" s="97"/>
      <x:c r="V94" s="97"/>
      <x:c r="W94" s="97"/>
      <x:c r="X94" s="97"/>
      <x:c r="Y94" s="97"/>
      <x:c r="Z94" s="97"/>
      <x:c r="AA94" s="97"/>
      <x:c r="AB94" s="97"/>
      <x:c r="AC94" s="97"/>
      <x:c r="AD94" s="97"/>
    </x:row>
    <x:row r="95" s="8" customFormat="1">
      <x:c r="O95" s="97"/>
      <x:c r="P95" s="97"/>
      <x:c r="Q95" s="97"/>
      <x:c r="R95" s="97"/>
      <x:c r="S95" s="97"/>
      <x:c r="T95" s="97"/>
      <x:c r="U95" s="97"/>
      <x:c r="V95" s="97"/>
      <x:c r="W95" s="97"/>
      <x:c r="X95" s="97"/>
      <x:c r="Y95" s="97"/>
      <x:c r="Z95" s="97"/>
      <x:c r="AA95" s="97"/>
      <x:c r="AB95" s="97"/>
      <x:c r="AC95" s="97"/>
      <x:c r="AD95" s="97"/>
    </x:row>
    <x:row r="96" s="8" customFormat="1">
      <x:c r="O96" s="97"/>
      <x:c r="P96" s="97"/>
      <x:c r="Q96" s="97"/>
      <x:c r="R96" s="97"/>
      <x:c r="S96" s="97"/>
      <x:c r="T96" s="97"/>
      <x:c r="U96" s="97"/>
      <x:c r="V96" s="97"/>
      <x:c r="W96" s="97"/>
      <x:c r="X96" s="97"/>
      <x:c r="Y96" s="97"/>
      <x:c r="Z96" s="97"/>
      <x:c r="AA96" s="97"/>
      <x:c r="AB96" s="97"/>
      <x:c r="AC96" s="97"/>
      <x:c r="AD96" s="97"/>
    </x:row>
    <x:row r="97" s="8" customFormat="1">
      <x:c r="O97" s="97"/>
      <x:c r="P97" s="97"/>
      <x:c r="Q97" s="97"/>
      <x:c r="R97" s="97"/>
      <x:c r="S97" s="97"/>
      <x:c r="T97" s="97"/>
      <x:c r="U97" s="97"/>
      <x:c r="V97" s="97"/>
      <x:c r="W97" s="97"/>
      <x:c r="X97" s="97"/>
      <x:c r="Y97" s="97"/>
      <x:c r="Z97" s="97"/>
      <x:c r="AA97" s="97"/>
      <x:c r="AB97" s="97"/>
      <x:c r="AC97" s="97"/>
      <x:c r="AD97" s="97"/>
    </x:row>
    <x:row r="98" s="8" customFormat="1">
      <x:c r="O98" s="97"/>
      <x:c r="P98" s="97"/>
      <x:c r="Q98" s="97"/>
      <x:c r="R98" s="97"/>
      <x:c r="S98" s="97"/>
      <x:c r="T98" s="97"/>
      <x:c r="U98" s="97"/>
      <x:c r="V98" s="97"/>
      <x:c r="W98" s="97"/>
      <x:c r="X98" s="97"/>
      <x:c r="Y98" s="97"/>
      <x:c r="Z98" s="97"/>
      <x:c r="AA98" s="97"/>
      <x:c r="AB98" s="97"/>
      <x:c r="AC98" s="97"/>
      <x:c r="AD98" s="97"/>
    </x:row>
    <x:row r="99" s="8" customFormat="1">
      <x:c r="O99" s="97"/>
      <x:c r="P99" s="97"/>
      <x:c r="Q99" s="97"/>
      <x:c r="R99" s="97"/>
      <x:c r="S99" s="97"/>
      <x:c r="T99" s="97"/>
      <x:c r="U99" s="97"/>
      <x:c r="V99" s="97"/>
      <x:c r="W99" s="97"/>
      <x:c r="X99" s="97"/>
      <x:c r="Y99" s="97"/>
      <x:c r="Z99" s="97"/>
      <x:c r="AA99" s="97"/>
      <x:c r="AB99" s="97"/>
      <x:c r="AC99" s="97"/>
      <x:c r="AD99" s="97"/>
    </x:row>
    <x:row r="100" s="8" customFormat="1">
      <x:c r="O100" s="97"/>
      <x:c r="P100" s="97"/>
      <x:c r="Q100" s="97"/>
      <x:c r="R100" s="97"/>
      <x:c r="S100" s="97"/>
      <x:c r="T100" s="97"/>
      <x:c r="U100" s="97"/>
      <x:c r="V100" s="97"/>
      <x:c r="W100" s="97"/>
      <x:c r="X100" s="97"/>
      <x:c r="Y100" s="97"/>
      <x:c r="Z100" s="97"/>
      <x:c r="AA100" s="97"/>
      <x:c r="AB100" s="97"/>
      <x:c r="AC100" s="97"/>
      <x:c r="AD100" s="97"/>
    </x:row>
    <x:row r="101" s="8" customFormat="1">
      <x:c r="O101" s="97"/>
      <x:c r="P101" s="97"/>
      <x:c r="Q101" s="97"/>
      <x:c r="R101" s="97"/>
      <x:c r="S101" s="97"/>
      <x:c r="T101" s="97"/>
      <x:c r="U101" s="97"/>
      <x:c r="V101" s="97"/>
      <x:c r="W101" s="97"/>
      <x:c r="X101" s="97"/>
      <x:c r="Y101" s="97"/>
      <x:c r="Z101" s="97"/>
      <x:c r="AA101" s="97"/>
      <x:c r="AB101" s="97"/>
      <x:c r="AC101" s="97"/>
      <x:c r="AD101" s="97"/>
    </x:row>
    <x:row r="102" s="8" customFormat="1">
      <x:c r="O102" s="97"/>
      <x:c r="P102" s="97"/>
      <x:c r="Q102" s="97"/>
      <x:c r="R102" s="97"/>
      <x:c r="S102" s="97"/>
      <x:c r="T102" s="97"/>
      <x:c r="U102" s="97"/>
      <x:c r="V102" s="97"/>
      <x:c r="W102" s="97"/>
      <x:c r="X102" s="97"/>
      <x:c r="Y102" s="97"/>
      <x:c r="Z102" s="97"/>
      <x:c r="AA102" s="97"/>
      <x:c r="AB102" s="97"/>
      <x:c r="AC102" s="97"/>
      <x:c r="AD102" s="97"/>
    </x:row>
    <x:row r="103" s="8" customFormat="1">
      <x:c r="O103" s="97"/>
      <x:c r="P103" s="97"/>
      <x:c r="Q103" s="97"/>
      <x:c r="R103" s="97"/>
      <x:c r="S103" s="97"/>
      <x:c r="T103" s="97"/>
      <x:c r="U103" s="97"/>
      <x:c r="V103" s="97"/>
      <x:c r="W103" s="97"/>
      <x:c r="X103" s="97"/>
      <x:c r="Y103" s="97"/>
      <x:c r="Z103" s="97"/>
      <x:c r="AA103" s="97"/>
      <x:c r="AB103" s="97"/>
      <x:c r="AC103" s="97"/>
      <x:c r="AD103" s="97"/>
    </x:row>
    <x:row r="104" s="8" customFormat="1">
      <x:c r="O104" s="97"/>
      <x:c r="P104" s="97"/>
      <x:c r="Q104" s="97"/>
      <x:c r="R104" s="97"/>
      <x:c r="S104" s="97"/>
      <x:c r="T104" s="97"/>
      <x:c r="U104" s="97"/>
      <x:c r="V104" s="97"/>
      <x:c r="W104" s="97"/>
      <x:c r="X104" s="97"/>
      <x:c r="Y104" s="97"/>
      <x:c r="Z104" s="97"/>
      <x:c r="AA104" s="97"/>
      <x:c r="AB104" s="97"/>
      <x:c r="AC104" s="97"/>
      <x:c r="AD104" s="97"/>
    </x:row>
    <x:row r="105" s="8" customFormat="1">
      <x:c r="O105" s="97"/>
      <x:c r="P105" s="97"/>
      <x:c r="Q105" s="97"/>
      <x:c r="R105" s="97"/>
      <x:c r="S105" s="97"/>
      <x:c r="T105" s="97"/>
      <x:c r="U105" s="97"/>
      <x:c r="V105" s="97"/>
      <x:c r="W105" s="97"/>
      <x:c r="X105" s="97"/>
      <x:c r="Y105" s="97"/>
      <x:c r="Z105" s="97"/>
      <x:c r="AA105" s="97"/>
      <x:c r="AB105" s="97"/>
      <x:c r="AC105" s="97"/>
      <x:c r="AD105" s="97"/>
    </x:row>
    <x:row r="106" s="8" customFormat="1">
      <x:c r="O106" s="97"/>
      <x:c r="P106" s="97"/>
      <x:c r="Q106" s="97"/>
      <x:c r="R106" s="97"/>
      <x:c r="S106" s="97"/>
      <x:c r="T106" s="97"/>
      <x:c r="U106" s="97"/>
      <x:c r="V106" s="97"/>
      <x:c r="W106" s="97"/>
      <x:c r="X106" s="97"/>
      <x:c r="Y106" s="97"/>
      <x:c r="Z106" s="97"/>
      <x:c r="AA106" s="97"/>
      <x:c r="AB106" s="97"/>
      <x:c r="AC106" s="97"/>
      <x:c r="AD106" s="97"/>
    </x:row>
    <x:row r="107" s="8" customFormat="1">
      <x:c r="O107" s="97"/>
      <x:c r="P107" s="97"/>
      <x:c r="Q107" s="97"/>
      <x:c r="R107" s="97"/>
      <x:c r="S107" s="97"/>
      <x:c r="T107" s="97"/>
      <x:c r="U107" s="97"/>
      <x:c r="V107" s="97"/>
      <x:c r="W107" s="97"/>
      <x:c r="X107" s="97"/>
      <x:c r="Y107" s="97"/>
      <x:c r="Z107" s="97"/>
      <x:c r="AA107" s="97"/>
      <x:c r="AB107" s="97"/>
      <x:c r="AC107" s="97"/>
      <x:c r="AD107" s="97"/>
    </x:row>
    <x:row r="108" s="8" customFormat="1">
      <x:c r="O108" s="97"/>
      <x:c r="P108" s="97"/>
      <x:c r="Q108" s="97"/>
      <x:c r="R108" s="97"/>
      <x:c r="S108" s="97"/>
      <x:c r="T108" s="97"/>
      <x:c r="U108" s="97"/>
      <x:c r="V108" s="97"/>
      <x:c r="W108" s="97"/>
      <x:c r="X108" s="97"/>
      <x:c r="Y108" s="97"/>
      <x:c r="Z108" s="97"/>
      <x:c r="AA108" s="97"/>
      <x:c r="AB108" s="97"/>
      <x:c r="AC108" s="97"/>
      <x:c r="AD108" s="97"/>
    </x:row>
    <x:row r="109" s="8" customFormat="1">
      <x:c r="O109" s="97"/>
      <x:c r="P109" s="97"/>
      <x:c r="Q109" s="97"/>
      <x:c r="R109" s="97"/>
      <x:c r="S109" s="97"/>
      <x:c r="T109" s="97"/>
      <x:c r="U109" s="97"/>
      <x:c r="V109" s="97"/>
      <x:c r="W109" s="97"/>
      <x:c r="X109" s="97"/>
      <x:c r="Y109" s="97"/>
      <x:c r="Z109" s="97"/>
      <x:c r="AA109" s="97"/>
      <x:c r="AB109" s="97"/>
      <x:c r="AC109" s="97"/>
      <x:c r="AD109" s="97"/>
    </x:row>
    <x:row r="110" s="8" customFormat="1">
      <x:c r="O110" s="97"/>
      <x:c r="P110" s="97"/>
      <x:c r="Q110" s="97"/>
      <x:c r="R110" s="97"/>
      <x:c r="S110" s="97"/>
      <x:c r="T110" s="97"/>
      <x:c r="U110" s="97"/>
      <x:c r="V110" s="97"/>
      <x:c r="W110" s="97"/>
      <x:c r="X110" s="97"/>
      <x:c r="Y110" s="97"/>
      <x:c r="Z110" s="97"/>
      <x:c r="AA110" s="97"/>
      <x:c r="AB110" s="97"/>
      <x:c r="AC110" s="97"/>
      <x:c r="AD110" s="97"/>
    </x:row>
    <x:row r="111" s="8" customFormat="1">
      <x:c r="O111" s="97"/>
      <x:c r="P111" s="97"/>
      <x:c r="Q111" s="97"/>
      <x:c r="R111" s="97"/>
      <x:c r="S111" s="97"/>
      <x:c r="T111" s="97"/>
      <x:c r="U111" s="97"/>
      <x:c r="V111" s="97"/>
      <x:c r="W111" s="97"/>
      <x:c r="X111" s="97"/>
      <x:c r="Y111" s="97"/>
      <x:c r="Z111" s="97"/>
      <x:c r="AA111" s="97"/>
      <x:c r="AB111" s="97"/>
      <x:c r="AC111" s="97"/>
      <x:c r="AD111" s="97"/>
    </x:row>
    <x:row r="112" s="8" customFormat="1">
      <x:c r="O112" s="97"/>
      <x:c r="P112" s="97"/>
      <x:c r="Q112" s="97"/>
      <x:c r="R112" s="97"/>
      <x:c r="S112" s="97"/>
      <x:c r="T112" s="97"/>
      <x:c r="U112" s="97"/>
      <x:c r="V112" s="97"/>
      <x:c r="W112" s="97"/>
      <x:c r="X112" s="97"/>
      <x:c r="Y112" s="97"/>
      <x:c r="Z112" s="97"/>
      <x:c r="AA112" s="97"/>
      <x:c r="AB112" s="97"/>
      <x:c r="AC112" s="97"/>
      <x:c r="AD112" s="97"/>
    </x:row>
    <x:row r="113" s="8" customFormat="1">
      <x:c r="O113" s="97"/>
      <x:c r="P113" s="97"/>
      <x:c r="Q113" s="97"/>
      <x:c r="R113" s="97"/>
      <x:c r="S113" s="97"/>
      <x:c r="T113" s="97"/>
      <x:c r="U113" s="97"/>
      <x:c r="V113" s="97"/>
      <x:c r="W113" s="97"/>
      <x:c r="X113" s="97"/>
      <x:c r="Y113" s="97"/>
      <x:c r="Z113" s="97"/>
      <x:c r="AA113" s="97"/>
      <x:c r="AB113" s="97"/>
      <x:c r="AC113" s="97"/>
      <x:c r="AD113" s="97"/>
    </x:row>
    <x:row r="114" s="8" customFormat="1">
      <x:c r="O114" s="97"/>
      <x:c r="P114" s="97"/>
      <x:c r="Q114" s="97"/>
      <x:c r="R114" s="97"/>
      <x:c r="S114" s="97"/>
      <x:c r="T114" s="97"/>
      <x:c r="U114" s="97"/>
      <x:c r="V114" s="97"/>
      <x:c r="W114" s="97"/>
      <x:c r="X114" s="97"/>
      <x:c r="Y114" s="97"/>
      <x:c r="Z114" s="97"/>
      <x:c r="AA114" s="97"/>
      <x:c r="AB114" s="97"/>
      <x:c r="AC114" s="97"/>
      <x:c r="AD114" s="97"/>
    </x:row>
    <x:row r="115" s="8" customFormat="1">
      <x:c r="O115" s="97"/>
      <x:c r="P115" s="97"/>
      <x:c r="Q115" s="97"/>
      <x:c r="R115" s="97"/>
      <x:c r="S115" s="97"/>
      <x:c r="T115" s="97"/>
      <x:c r="U115" s="97"/>
      <x:c r="V115" s="97"/>
      <x:c r="W115" s="97"/>
      <x:c r="X115" s="97"/>
      <x:c r="Y115" s="97"/>
      <x:c r="Z115" s="97"/>
      <x:c r="AA115" s="97"/>
      <x:c r="AB115" s="97"/>
      <x:c r="AC115" s="97"/>
      <x:c r="AD115" s="97"/>
    </x:row>
    <x:row r="116" s="8" customFormat="1">
      <x:c r="O116" s="97"/>
      <x:c r="P116" s="97"/>
      <x:c r="Q116" s="97"/>
      <x:c r="R116" s="97"/>
      <x:c r="S116" s="97"/>
      <x:c r="T116" s="97"/>
      <x:c r="U116" s="97"/>
      <x:c r="V116" s="97"/>
      <x:c r="W116" s="97"/>
      <x:c r="X116" s="97"/>
      <x:c r="Y116" s="97"/>
      <x:c r="Z116" s="97"/>
      <x:c r="AA116" s="97"/>
      <x:c r="AB116" s="97"/>
      <x:c r="AC116" s="97"/>
      <x:c r="AD116" s="97"/>
    </x:row>
    <x:row r="117" s="8" customFormat="1">
      <x:c r="O117" s="97"/>
      <x:c r="P117" s="97"/>
      <x:c r="Q117" s="97"/>
      <x:c r="R117" s="97"/>
      <x:c r="S117" s="97"/>
      <x:c r="T117" s="97"/>
      <x:c r="U117" s="97"/>
      <x:c r="V117" s="97"/>
      <x:c r="W117" s="97"/>
      <x:c r="X117" s="97"/>
      <x:c r="Y117" s="97"/>
      <x:c r="Z117" s="97"/>
      <x:c r="AA117" s="97"/>
      <x:c r="AB117" s="97"/>
      <x:c r="AC117" s="97"/>
      <x:c r="AD117" s="97"/>
    </x:row>
    <x:row r="118" s="8" customFormat="1">
      <x:c r="O118" s="97"/>
      <x:c r="P118" s="97"/>
      <x:c r="Q118" s="97"/>
      <x:c r="R118" s="97"/>
      <x:c r="S118" s="97"/>
      <x:c r="T118" s="97"/>
      <x:c r="U118" s="97"/>
      <x:c r="V118" s="97"/>
      <x:c r="W118" s="97"/>
      <x:c r="X118" s="97"/>
      <x:c r="Y118" s="97"/>
      <x:c r="Z118" s="97"/>
      <x:c r="AA118" s="97"/>
      <x:c r="AB118" s="97"/>
      <x:c r="AC118" s="97"/>
      <x:c r="AD118" s="97"/>
    </x:row>
    <x:row r="119" s="8" customFormat="1">
      <x:c r="O119" s="97"/>
      <x:c r="P119" s="97"/>
      <x:c r="Q119" s="97"/>
      <x:c r="R119" s="97"/>
      <x:c r="S119" s="97"/>
      <x:c r="T119" s="97"/>
      <x:c r="U119" s="97"/>
      <x:c r="V119" s="97"/>
      <x:c r="W119" s="97"/>
      <x:c r="X119" s="97"/>
      <x:c r="Y119" s="97"/>
      <x:c r="Z119" s="97"/>
      <x:c r="AA119" s="97"/>
      <x:c r="AB119" s="97"/>
      <x:c r="AC119" s="97"/>
      <x:c r="AD119" s="97"/>
    </x:row>
    <x:row r="120" s="8" customFormat="1">
      <x:c r="O120" s="97"/>
      <x:c r="P120" s="97"/>
      <x:c r="Q120" s="97"/>
      <x:c r="R120" s="97"/>
      <x:c r="S120" s="97"/>
      <x:c r="T120" s="97"/>
      <x:c r="U120" s="97"/>
      <x:c r="V120" s="97"/>
      <x:c r="W120" s="97"/>
      <x:c r="X120" s="97"/>
      <x:c r="Y120" s="97"/>
      <x:c r="Z120" s="97"/>
      <x:c r="AA120" s="97"/>
      <x:c r="AB120" s="97"/>
      <x:c r="AC120" s="97"/>
      <x:c r="AD120" s="97"/>
    </x:row>
    <x:row r="121" s="8" customFormat="1">
      <x:c r="O121" s="97"/>
      <x:c r="P121" s="97"/>
      <x:c r="Q121" s="97"/>
      <x:c r="R121" s="97"/>
      <x:c r="S121" s="97"/>
      <x:c r="T121" s="97"/>
      <x:c r="U121" s="97"/>
      <x:c r="V121" s="97"/>
      <x:c r="W121" s="97"/>
      <x:c r="X121" s="97"/>
      <x:c r="Y121" s="97"/>
      <x:c r="Z121" s="97"/>
      <x:c r="AA121" s="97"/>
      <x:c r="AB121" s="97"/>
      <x:c r="AC121" s="97"/>
      <x:c r="AD121" s="97"/>
    </x:row>
    <x:row r="122" s="8" customFormat="1">
      <x:c r="O122" s="97"/>
      <x:c r="P122" s="97"/>
      <x:c r="Q122" s="97"/>
      <x:c r="R122" s="97"/>
      <x:c r="S122" s="97"/>
      <x:c r="T122" s="97"/>
      <x:c r="U122" s="97"/>
      <x:c r="V122" s="97"/>
      <x:c r="W122" s="97"/>
      <x:c r="X122" s="97"/>
      <x:c r="Y122" s="97"/>
      <x:c r="Z122" s="97"/>
      <x:c r="AA122" s="97"/>
      <x:c r="AB122" s="97"/>
      <x:c r="AC122" s="97"/>
      <x:c r="AD122" s="97"/>
    </x:row>
    <x:row r="123" s="8" customFormat="1">
      <x:c r="O123" s="97"/>
      <x:c r="P123" s="97"/>
      <x:c r="Q123" s="97"/>
      <x:c r="R123" s="97"/>
      <x:c r="S123" s="97"/>
      <x:c r="T123" s="97"/>
      <x:c r="U123" s="97"/>
      <x:c r="V123" s="97"/>
      <x:c r="W123" s="97"/>
      <x:c r="X123" s="97"/>
      <x:c r="Y123" s="97"/>
      <x:c r="Z123" s="97"/>
      <x:c r="AA123" s="97"/>
      <x:c r="AB123" s="97"/>
      <x:c r="AC123" s="97"/>
      <x:c r="AD123" s="97"/>
    </x:row>
    <x:row r="124" s="8" customFormat="1">
      <x:c r="O124" s="97"/>
      <x:c r="P124" s="97"/>
      <x:c r="Q124" s="97"/>
      <x:c r="R124" s="97"/>
      <x:c r="S124" s="97"/>
      <x:c r="T124" s="97"/>
      <x:c r="U124" s="97"/>
      <x:c r="V124" s="97"/>
      <x:c r="W124" s="97"/>
      <x:c r="X124" s="97"/>
      <x:c r="Y124" s="97"/>
      <x:c r="Z124" s="97"/>
      <x:c r="AA124" s="97"/>
      <x:c r="AB124" s="97"/>
      <x:c r="AC124" s="97"/>
      <x:c r="AD124" s="97"/>
    </x:row>
    <x:row r="125" s="8" customFormat="1">
      <x:c r="O125" s="97"/>
      <x:c r="P125" s="97"/>
      <x:c r="Q125" s="97"/>
      <x:c r="R125" s="97"/>
      <x:c r="S125" s="97"/>
      <x:c r="T125" s="97"/>
      <x:c r="U125" s="97"/>
      <x:c r="V125" s="97"/>
      <x:c r="W125" s="97"/>
      <x:c r="X125" s="97"/>
      <x:c r="Y125" s="97"/>
      <x:c r="Z125" s="97"/>
      <x:c r="AA125" s="97"/>
      <x:c r="AB125" s="97"/>
      <x:c r="AC125" s="97"/>
      <x:c r="AD125" s="97"/>
    </x:row>
    <x:row r="126" s="8" customFormat="1">
      <x:c r="O126" s="97"/>
      <x:c r="P126" s="97"/>
      <x:c r="Q126" s="97"/>
      <x:c r="R126" s="97"/>
      <x:c r="S126" s="97"/>
      <x:c r="T126" s="97"/>
      <x:c r="U126" s="97"/>
      <x:c r="V126" s="97"/>
      <x:c r="W126" s="97"/>
      <x:c r="X126" s="97"/>
      <x:c r="Y126" s="97"/>
      <x:c r="Z126" s="97"/>
      <x:c r="AA126" s="97"/>
      <x:c r="AB126" s="97"/>
      <x:c r="AC126" s="97"/>
      <x:c r="AD126" s="97"/>
    </x:row>
    <x:row r="127" s="8" customFormat="1">
      <x:c r="O127" s="97"/>
      <x:c r="P127" s="97"/>
      <x:c r="Q127" s="97"/>
      <x:c r="R127" s="97"/>
      <x:c r="S127" s="97"/>
      <x:c r="T127" s="97"/>
      <x:c r="U127" s="97"/>
      <x:c r="V127" s="97"/>
      <x:c r="W127" s="97"/>
      <x:c r="X127" s="97"/>
      <x:c r="Y127" s="97"/>
      <x:c r="Z127" s="97"/>
      <x:c r="AA127" s="97"/>
      <x:c r="AB127" s="97"/>
      <x:c r="AC127" s="97"/>
      <x:c r="AD127" s="97"/>
    </x:row>
    <x:row r="128" s="8" customFormat="1">
      <x:c r="O128" s="97"/>
      <x:c r="P128" s="97"/>
      <x:c r="Q128" s="97"/>
      <x:c r="R128" s="97"/>
      <x:c r="S128" s="97"/>
      <x:c r="T128" s="97"/>
      <x:c r="U128" s="97"/>
      <x:c r="V128" s="97"/>
      <x:c r="W128" s="97"/>
      <x:c r="X128" s="97"/>
      <x:c r="Y128" s="97"/>
      <x:c r="Z128" s="97"/>
      <x:c r="AA128" s="97"/>
      <x:c r="AB128" s="97"/>
      <x:c r="AC128" s="97"/>
      <x:c r="AD128" s="97"/>
    </x:row>
    <x:row r="129" s="8" customFormat="1">
      <x:c r="O129" s="97"/>
      <x:c r="P129" s="97"/>
      <x:c r="Q129" s="97"/>
      <x:c r="R129" s="97"/>
      <x:c r="S129" s="97"/>
      <x:c r="T129" s="97"/>
      <x:c r="U129" s="97"/>
      <x:c r="V129" s="97"/>
      <x:c r="W129" s="97"/>
      <x:c r="X129" s="97"/>
      <x:c r="Y129" s="97"/>
      <x:c r="Z129" s="97"/>
      <x:c r="AA129" s="97"/>
      <x:c r="AB129" s="97"/>
      <x:c r="AC129" s="97"/>
      <x:c r="AD129" s="97"/>
    </x:row>
    <x:row r="130" s="8" customFormat="1">
      <x:c r="O130" s="97"/>
      <x:c r="P130" s="97"/>
      <x:c r="Q130" s="97"/>
      <x:c r="R130" s="97"/>
      <x:c r="S130" s="97"/>
      <x:c r="T130" s="97"/>
      <x:c r="U130" s="97"/>
      <x:c r="V130" s="97"/>
      <x:c r="W130" s="97"/>
      <x:c r="X130" s="97"/>
      <x:c r="Y130" s="97"/>
      <x:c r="Z130" s="97"/>
      <x:c r="AA130" s="97"/>
      <x:c r="AB130" s="97"/>
      <x:c r="AC130" s="97"/>
      <x:c r="AD130" s="97"/>
    </x:row>
    <x:row r="131" s="8" customFormat="1">
      <x:c r="O131" s="97"/>
      <x:c r="P131" s="97"/>
      <x:c r="Q131" s="97"/>
      <x:c r="R131" s="97"/>
      <x:c r="S131" s="97"/>
      <x:c r="T131" s="97"/>
      <x:c r="U131" s="97"/>
      <x:c r="V131" s="97"/>
      <x:c r="W131" s="97"/>
      <x:c r="X131" s="97"/>
      <x:c r="Y131" s="97"/>
      <x:c r="Z131" s="97"/>
      <x:c r="AA131" s="97"/>
      <x:c r="AB131" s="97"/>
      <x:c r="AC131" s="97"/>
      <x:c r="AD131" s="97"/>
    </x:row>
    <x:row r="132" s="8" customFormat="1">
      <x:c r="O132" s="97"/>
      <x:c r="P132" s="97"/>
      <x:c r="Q132" s="97"/>
      <x:c r="R132" s="97"/>
      <x:c r="S132" s="97"/>
      <x:c r="T132" s="97"/>
      <x:c r="U132" s="97"/>
      <x:c r="V132" s="97"/>
      <x:c r="W132" s="97"/>
      <x:c r="X132" s="97"/>
      <x:c r="Y132" s="97"/>
      <x:c r="Z132" s="97"/>
      <x:c r="AA132" s="97"/>
      <x:c r="AB132" s="97"/>
      <x:c r="AC132" s="97"/>
      <x:c r="AD132" s="97"/>
    </x:row>
    <x:row r="133" s="8" customFormat="1">
      <x:c r="O133" s="97"/>
      <x:c r="P133" s="97"/>
      <x:c r="Q133" s="97"/>
      <x:c r="R133" s="97"/>
      <x:c r="S133" s="97"/>
      <x:c r="T133" s="97"/>
      <x:c r="U133" s="97"/>
      <x:c r="V133" s="97"/>
      <x:c r="W133" s="97"/>
      <x:c r="X133" s="97"/>
      <x:c r="Y133" s="97"/>
      <x:c r="Z133" s="97"/>
      <x:c r="AA133" s="97"/>
      <x:c r="AB133" s="97"/>
      <x:c r="AC133" s="97"/>
      <x:c r="AD133" s="97"/>
    </x:row>
    <x:row r="134" s="8" customFormat="1">
      <x:c r="O134" s="97"/>
      <x:c r="P134" s="97"/>
      <x:c r="Q134" s="97"/>
      <x:c r="R134" s="97"/>
      <x:c r="S134" s="97"/>
      <x:c r="T134" s="97"/>
      <x:c r="U134" s="97"/>
      <x:c r="V134" s="97"/>
      <x:c r="W134" s="97"/>
      <x:c r="X134" s="97"/>
      <x:c r="Y134" s="97"/>
      <x:c r="Z134" s="97"/>
      <x:c r="AA134" s="97"/>
      <x:c r="AB134" s="97"/>
      <x:c r="AC134" s="97"/>
      <x:c r="AD134" s="97"/>
    </x:row>
    <x:row r="135" s="8" customFormat="1">
      <x:c r="O135" s="97"/>
      <x:c r="P135" s="97"/>
      <x:c r="Q135" s="97"/>
      <x:c r="R135" s="97"/>
      <x:c r="S135" s="97"/>
      <x:c r="T135" s="97"/>
      <x:c r="U135" s="97"/>
      <x:c r="V135" s="97"/>
      <x:c r="W135" s="97"/>
      <x:c r="X135" s="97"/>
      <x:c r="Y135" s="97"/>
      <x:c r="Z135" s="97"/>
      <x:c r="AA135" s="97"/>
      <x:c r="AB135" s="97"/>
      <x:c r="AC135" s="97"/>
      <x:c r="AD135" s="97"/>
    </x:row>
    <x:row r="136" s="8" customFormat="1">
      <x:c r="O136" s="97"/>
      <x:c r="P136" s="97"/>
      <x:c r="Q136" s="97"/>
      <x:c r="R136" s="97"/>
      <x:c r="S136" s="97"/>
      <x:c r="T136" s="97"/>
      <x:c r="U136" s="97"/>
      <x:c r="V136" s="97"/>
      <x:c r="W136" s="97"/>
      <x:c r="X136" s="97"/>
      <x:c r="Y136" s="97"/>
      <x:c r="Z136" s="97"/>
      <x:c r="AA136" s="97"/>
      <x:c r="AB136" s="97"/>
      <x:c r="AC136" s="97"/>
      <x:c r="AD136" s="97"/>
    </x:row>
    <x:row r="137" s="8" customFormat="1">
      <x:c r="O137" s="97"/>
      <x:c r="P137" s="97"/>
      <x:c r="Q137" s="97"/>
      <x:c r="R137" s="97"/>
      <x:c r="S137" s="97"/>
      <x:c r="T137" s="97"/>
      <x:c r="U137" s="97"/>
      <x:c r="V137" s="97"/>
      <x:c r="W137" s="97"/>
      <x:c r="X137" s="97"/>
      <x:c r="Y137" s="97"/>
      <x:c r="Z137" s="97"/>
      <x:c r="AA137" s="97"/>
      <x:c r="AB137" s="97"/>
      <x:c r="AC137" s="97"/>
      <x:c r="AD137" s="97"/>
    </x:row>
    <x:row r="138" s="8" customFormat="1">
      <x:c r="O138" s="97"/>
      <x:c r="P138" s="97"/>
      <x:c r="Q138" s="97"/>
      <x:c r="R138" s="97"/>
      <x:c r="S138" s="97"/>
      <x:c r="T138" s="97"/>
      <x:c r="U138" s="97"/>
      <x:c r="V138" s="97"/>
      <x:c r="W138" s="97"/>
      <x:c r="X138" s="97"/>
      <x:c r="Y138" s="97"/>
      <x:c r="Z138" s="97"/>
      <x:c r="AA138" s="97"/>
      <x:c r="AB138" s="97"/>
      <x:c r="AC138" s="97"/>
      <x:c r="AD138" s="97"/>
    </x:row>
    <x:row r="139" s="8" customFormat="1">
      <x:c r="O139" s="97"/>
      <x:c r="P139" s="97"/>
      <x:c r="Q139" s="97"/>
      <x:c r="R139" s="97"/>
      <x:c r="S139" s="97"/>
      <x:c r="T139" s="97"/>
      <x:c r="U139" s="97"/>
      <x:c r="V139" s="97"/>
      <x:c r="W139" s="97"/>
      <x:c r="X139" s="97"/>
      <x:c r="Y139" s="97"/>
      <x:c r="Z139" s="97"/>
      <x:c r="AA139" s="97"/>
      <x:c r="AB139" s="97"/>
      <x:c r="AC139" s="97"/>
      <x:c r="AD139" s="97"/>
    </x:row>
    <x:row r="140" s="8" customFormat="1">
      <x:c r="O140" s="97"/>
      <x:c r="P140" s="97"/>
      <x:c r="Q140" s="97"/>
      <x:c r="R140" s="97"/>
      <x:c r="S140" s="97"/>
      <x:c r="T140" s="97"/>
      <x:c r="U140" s="97"/>
      <x:c r="V140" s="97"/>
      <x:c r="W140" s="97"/>
      <x:c r="X140" s="97"/>
      <x:c r="Y140" s="97"/>
      <x:c r="Z140" s="97"/>
      <x:c r="AA140" s="97"/>
      <x:c r="AB140" s="97"/>
      <x:c r="AC140" s="97"/>
      <x:c r="AD140" s="97"/>
    </x:row>
    <x:row r="141" s="8" customFormat="1">
      <x:c r="O141" s="97"/>
      <x:c r="P141" s="97"/>
      <x:c r="Q141" s="97"/>
      <x:c r="R141" s="97"/>
      <x:c r="S141" s="97"/>
      <x:c r="T141" s="97"/>
      <x:c r="U141" s="97"/>
      <x:c r="V141" s="97"/>
      <x:c r="W141" s="97"/>
      <x:c r="X141" s="97"/>
      <x:c r="Y141" s="97"/>
      <x:c r="Z141" s="97"/>
      <x:c r="AA141" s="97"/>
      <x:c r="AB141" s="97"/>
      <x:c r="AC141" s="97"/>
      <x:c r="AD141" s="97"/>
    </x:row>
    <x:row r="142" s="8" customFormat="1">
      <x:c r="O142" s="97"/>
      <x:c r="P142" s="97"/>
      <x:c r="Q142" s="97"/>
      <x:c r="R142" s="97"/>
      <x:c r="S142" s="97"/>
      <x:c r="T142" s="97"/>
      <x:c r="U142" s="97"/>
      <x:c r="V142" s="97"/>
      <x:c r="W142" s="97"/>
      <x:c r="X142" s="97"/>
      <x:c r="Y142" s="97"/>
      <x:c r="Z142" s="97"/>
      <x:c r="AA142" s="97"/>
      <x:c r="AB142" s="97"/>
      <x:c r="AC142" s="97"/>
      <x:c r="AD142" s="97"/>
    </x:row>
    <x:row r="143" s="8" customFormat="1">
      <x:c r="O143" s="97"/>
      <x:c r="P143" s="97"/>
      <x:c r="Q143" s="97"/>
      <x:c r="R143" s="97"/>
      <x:c r="S143" s="97"/>
      <x:c r="T143" s="97"/>
      <x:c r="U143" s="97"/>
      <x:c r="V143" s="97"/>
      <x:c r="W143" s="97"/>
      <x:c r="X143" s="97"/>
      <x:c r="Y143" s="97"/>
      <x:c r="Z143" s="97"/>
      <x:c r="AA143" s="97"/>
      <x:c r="AB143" s="97"/>
      <x:c r="AC143" s="97"/>
      <x:c r="AD143" s="97"/>
    </x:row>
    <x:row r="144" s="8" customFormat="1">
      <x:c r="O144" s="97"/>
      <x:c r="P144" s="97"/>
      <x:c r="Q144" s="97"/>
      <x:c r="R144" s="97"/>
      <x:c r="S144" s="97"/>
      <x:c r="T144" s="97"/>
      <x:c r="U144" s="97"/>
      <x:c r="V144" s="97"/>
      <x:c r="W144" s="97"/>
      <x:c r="X144" s="97"/>
      <x:c r="Y144" s="97"/>
      <x:c r="Z144" s="97"/>
      <x:c r="AA144" s="97"/>
      <x:c r="AB144" s="97"/>
      <x:c r="AC144" s="97"/>
      <x:c r="AD144" s="97"/>
    </x:row>
    <x:row r="145" s="8" customFormat="1">
      <x:c r="O145" s="97"/>
      <x:c r="P145" s="97"/>
      <x:c r="Q145" s="97"/>
      <x:c r="R145" s="97"/>
      <x:c r="S145" s="97"/>
      <x:c r="T145" s="97"/>
      <x:c r="U145" s="97"/>
      <x:c r="V145" s="97"/>
      <x:c r="W145" s="97"/>
      <x:c r="X145" s="97"/>
      <x:c r="Y145" s="97"/>
      <x:c r="Z145" s="97"/>
      <x:c r="AA145" s="97"/>
      <x:c r="AB145" s="97"/>
      <x:c r="AC145" s="97"/>
      <x:c r="AD145" s="97"/>
    </x:row>
    <x:row r="146" s="8" customFormat="1">
      <x:c r="O146" s="97"/>
      <x:c r="P146" s="97"/>
      <x:c r="Q146" s="97"/>
      <x:c r="R146" s="97"/>
      <x:c r="S146" s="97"/>
      <x:c r="T146" s="97"/>
      <x:c r="U146" s="97"/>
      <x:c r="V146" s="97"/>
      <x:c r="W146" s="97"/>
      <x:c r="X146" s="97"/>
      <x:c r="Y146" s="97"/>
      <x:c r="Z146" s="97"/>
      <x:c r="AA146" s="97"/>
      <x:c r="AB146" s="97"/>
      <x:c r="AC146" s="97"/>
      <x:c r="AD146" s="97"/>
    </x:row>
    <x:row r="147" s="8" customFormat="1">
      <x:c r="O147" s="97"/>
      <x:c r="P147" s="97"/>
      <x:c r="Q147" s="97"/>
      <x:c r="R147" s="97"/>
      <x:c r="S147" s="97"/>
      <x:c r="T147" s="97"/>
      <x:c r="U147" s="97"/>
      <x:c r="V147" s="97"/>
      <x:c r="W147" s="97"/>
      <x:c r="X147" s="97"/>
      <x:c r="Y147" s="97"/>
      <x:c r="Z147" s="97"/>
      <x:c r="AA147" s="97"/>
      <x:c r="AB147" s="97"/>
      <x:c r="AC147" s="97"/>
      <x:c r="AD147" s="97"/>
    </x:row>
    <x:row r="148" s="8" customFormat="1">
      <x:c r="O148" s="97"/>
      <x:c r="P148" s="97"/>
      <x:c r="Q148" s="97"/>
      <x:c r="R148" s="97"/>
      <x:c r="S148" s="97"/>
      <x:c r="T148" s="97"/>
      <x:c r="U148" s="97"/>
      <x:c r="V148" s="97"/>
      <x:c r="W148" s="97"/>
      <x:c r="X148" s="97"/>
      <x:c r="Y148" s="97"/>
      <x:c r="Z148" s="97"/>
      <x:c r="AA148" s="97"/>
      <x:c r="AB148" s="97"/>
      <x:c r="AC148" s="97"/>
      <x:c r="AD148" s="97"/>
    </x:row>
    <x:row r="149" s="8" customFormat="1">
      <x:c r="O149" s="97"/>
      <x:c r="P149" s="97"/>
      <x:c r="Q149" s="97"/>
      <x:c r="R149" s="97"/>
      <x:c r="S149" s="97"/>
      <x:c r="T149" s="97"/>
      <x:c r="U149" s="97"/>
      <x:c r="V149" s="97"/>
      <x:c r="W149" s="97"/>
      <x:c r="X149" s="97"/>
      <x:c r="Y149" s="97"/>
      <x:c r="Z149" s="97"/>
      <x:c r="AA149" s="97"/>
      <x:c r="AB149" s="97"/>
      <x:c r="AC149" s="97"/>
      <x:c r="AD149" s="97"/>
    </x:row>
    <x:row r="150" s="8" customFormat="1">
      <x:c r="O150" s="97"/>
      <x:c r="P150" s="97"/>
      <x:c r="Q150" s="97"/>
      <x:c r="R150" s="97"/>
      <x:c r="S150" s="97"/>
      <x:c r="T150" s="97"/>
      <x:c r="U150" s="97"/>
      <x:c r="V150" s="97"/>
      <x:c r="W150" s="97"/>
      <x:c r="X150" s="97"/>
      <x:c r="Y150" s="97"/>
      <x:c r="Z150" s="97"/>
      <x:c r="AA150" s="97"/>
      <x:c r="AB150" s="97"/>
      <x:c r="AC150" s="97"/>
      <x:c r="AD150" s="97"/>
    </x:row>
    <x:row r="151" s="8" customFormat="1">
      <x:c r="O151" s="97"/>
      <x:c r="P151" s="97"/>
      <x:c r="Q151" s="97"/>
      <x:c r="R151" s="97"/>
      <x:c r="S151" s="97"/>
      <x:c r="T151" s="97"/>
      <x:c r="U151" s="97"/>
      <x:c r="V151" s="97"/>
      <x:c r="W151" s="97"/>
      <x:c r="X151" s="97"/>
      <x:c r="Y151" s="97"/>
      <x:c r="Z151" s="97"/>
      <x:c r="AA151" s="97"/>
      <x:c r="AB151" s="97"/>
      <x:c r="AC151" s="97"/>
      <x:c r="AD151" s="97"/>
    </x:row>
    <x:row r="152" s="8" customFormat="1">
      <x:c r="O152" s="97"/>
      <x:c r="P152" s="97"/>
      <x:c r="Q152" s="97"/>
      <x:c r="R152" s="97"/>
      <x:c r="S152" s="97"/>
      <x:c r="T152" s="97"/>
      <x:c r="U152" s="97"/>
      <x:c r="V152" s="97"/>
      <x:c r="W152" s="97"/>
      <x:c r="X152" s="97"/>
      <x:c r="Y152" s="97"/>
      <x:c r="Z152" s="97"/>
      <x:c r="AA152" s="97"/>
      <x:c r="AB152" s="97"/>
      <x:c r="AC152" s="97"/>
      <x:c r="AD152" s="97"/>
    </x:row>
    <x:row r="153" s="8" customFormat="1">
      <x:c r="O153" s="97"/>
      <x:c r="P153" s="97"/>
      <x:c r="Q153" s="97"/>
      <x:c r="R153" s="97"/>
      <x:c r="S153" s="97"/>
      <x:c r="T153" s="97"/>
      <x:c r="U153" s="97"/>
      <x:c r="V153" s="97"/>
      <x:c r="W153" s="97"/>
      <x:c r="X153" s="97"/>
      <x:c r="Y153" s="97"/>
      <x:c r="Z153" s="97"/>
      <x:c r="AA153" s="97"/>
      <x:c r="AB153" s="97"/>
      <x:c r="AC153" s="97"/>
      <x:c r="AD153" s="97"/>
    </x:row>
    <x:row r="154" s="8" customFormat="1">
      <x:c r="O154" s="97"/>
      <x:c r="P154" s="97"/>
      <x:c r="Q154" s="97"/>
      <x:c r="R154" s="97"/>
      <x:c r="S154" s="97"/>
      <x:c r="T154" s="97"/>
      <x:c r="U154" s="97"/>
      <x:c r="V154" s="97"/>
      <x:c r="W154" s="97"/>
      <x:c r="X154" s="97"/>
      <x:c r="Y154" s="97"/>
      <x:c r="Z154" s="97"/>
      <x:c r="AA154" s="97"/>
      <x:c r="AB154" s="97"/>
      <x:c r="AC154" s="97"/>
      <x:c r="AD154" s="97"/>
    </x:row>
    <x:row r="155" s="8" customFormat="1">
      <x:c r="O155" s="97"/>
      <x:c r="P155" s="97"/>
      <x:c r="Q155" s="97"/>
      <x:c r="R155" s="97"/>
      <x:c r="S155" s="97"/>
      <x:c r="T155" s="97"/>
      <x:c r="U155" s="97"/>
      <x:c r="V155" s="97"/>
      <x:c r="W155" s="97"/>
      <x:c r="X155" s="97"/>
      <x:c r="Y155" s="97"/>
      <x:c r="Z155" s="97"/>
      <x:c r="AA155" s="97"/>
      <x:c r="AB155" s="97"/>
      <x:c r="AC155" s="97"/>
      <x:c r="AD155" s="97"/>
    </x:row>
    <x:row r="156" s="8" customFormat="1">
      <x:c r="O156" s="97"/>
      <x:c r="P156" s="97"/>
      <x:c r="Q156" s="97"/>
      <x:c r="R156" s="97"/>
      <x:c r="S156" s="97"/>
      <x:c r="T156" s="97"/>
      <x:c r="U156" s="97"/>
      <x:c r="V156" s="97"/>
      <x:c r="W156" s="97"/>
      <x:c r="X156" s="97"/>
      <x:c r="Y156" s="97"/>
      <x:c r="Z156" s="97"/>
      <x:c r="AA156" s="97"/>
      <x:c r="AB156" s="97"/>
      <x:c r="AC156" s="97"/>
      <x:c r="AD156" s="97"/>
    </x:row>
    <x:row r="157" s="8" customFormat="1">
      <x:c r="O157" s="97"/>
      <x:c r="P157" s="97"/>
      <x:c r="Q157" s="97"/>
      <x:c r="R157" s="97"/>
      <x:c r="S157" s="97"/>
      <x:c r="T157" s="97"/>
      <x:c r="U157" s="97"/>
      <x:c r="V157" s="97"/>
      <x:c r="W157" s="97"/>
      <x:c r="X157" s="97"/>
      <x:c r="Y157" s="97"/>
      <x:c r="Z157" s="97"/>
      <x:c r="AA157" s="97"/>
      <x:c r="AB157" s="97"/>
      <x:c r="AC157" s="97"/>
      <x:c r="AD157" s="97"/>
    </x:row>
    <x:row r="158" s="8" customFormat="1">
      <x:c r="O158" s="97"/>
      <x:c r="P158" s="97"/>
      <x:c r="Q158" s="97"/>
      <x:c r="R158" s="97"/>
      <x:c r="S158" s="97"/>
      <x:c r="T158" s="97"/>
      <x:c r="U158" s="97"/>
      <x:c r="V158" s="97"/>
      <x:c r="W158" s="97"/>
      <x:c r="X158" s="97"/>
      <x:c r="Y158" s="97"/>
      <x:c r="Z158" s="97"/>
      <x:c r="AA158" s="97"/>
      <x:c r="AB158" s="97"/>
      <x:c r="AC158" s="97"/>
      <x:c r="AD158" s="97"/>
    </x:row>
    <x:row r="159" s="8" customFormat="1">
      <x:c r="O159" s="97"/>
      <x:c r="P159" s="97"/>
      <x:c r="Q159" s="97"/>
      <x:c r="R159" s="97"/>
      <x:c r="S159" s="97"/>
      <x:c r="T159" s="97"/>
      <x:c r="U159" s="97"/>
      <x:c r="V159" s="97"/>
      <x:c r="W159" s="97"/>
      <x:c r="X159" s="97"/>
      <x:c r="Y159" s="97"/>
      <x:c r="Z159" s="97"/>
      <x:c r="AA159" s="97"/>
      <x:c r="AB159" s="97"/>
      <x:c r="AC159" s="97"/>
      <x:c r="AD159" s="97"/>
    </x:row>
    <x:row r="160" s="8" customFormat="1">
      <x:c r="O160" s="97"/>
      <x:c r="P160" s="97"/>
      <x:c r="Q160" s="97"/>
      <x:c r="R160" s="97"/>
      <x:c r="S160" s="97"/>
      <x:c r="T160" s="97"/>
      <x:c r="U160" s="97"/>
      <x:c r="V160" s="97"/>
      <x:c r="W160" s="97"/>
      <x:c r="X160" s="97"/>
      <x:c r="Y160" s="97"/>
      <x:c r="Z160" s="97"/>
      <x:c r="AA160" s="97"/>
      <x:c r="AB160" s="97"/>
      <x:c r="AC160" s="97"/>
      <x:c r="AD160" s="97"/>
    </x:row>
    <x:row r="161" s="8" customFormat="1">
      <x:c r="O161" s="97"/>
      <x:c r="P161" s="97"/>
      <x:c r="Q161" s="97"/>
      <x:c r="R161" s="97"/>
      <x:c r="S161" s="97"/>
      <x:c r="T161" s="97"/>
      <x:c r="U161" s="97"/>
      <x:c r="V161" s="97"/>
      <x:c r="W161" s="97"/>
      <x:c r="X161" s="97"/>
      <x:c r="Y161" s="97"/>
      <x:c r="Z161" s="97"/>
      <x:c r="AA161" s="97"/>
      <x:c r="AB161" s="97"/>
      <x:c r="AC161" s="97"/>
      <x:c r="AD161" s="97"/>
    </x:row>
    <x:row r="162" s="8" customFormat="1">
      <x:c r="O162" s="97"/>
      <x:c r="P162" s="97"/>
      <x:c r="Q162" s="97"/>
      <x:c r="R162" s="97"/>
      <x:c r="S162" s="97"/>
      <x:c r="T162" s="97"/>
      <x:c r="U162" s="97"/>
      <x:c r="V162" s="97"/>
      <x:c r="W162" s="97"/>
      <x:c r="X162" s="97"/>
      <x:c r="Y162" s="97"/>
      <x:c r="Z162" s="97"/>
      <x:c r="AA162" s="97"/>
      <x:c r="AB162" s="97"/>
      <x:c r="AC162" s="97"/>
      <x:c r="AD162" s="97"/>
    </x:row>
    <x:row r="163" s="8" customFormat="1">
      <x:c r="O163" s="97"/>
      <x:c r="P163" s="97"/>
      <x:c r="Q163" s="97"/>
      <x:c r="R163" s="97"/>
      <x:c r="S163" s="97"/>
      <x:c r="T163" s="97"/>
      <x:c r="U163" s="97"/>
      <x:c r="V163" s="97"/>
      <x:c r="W163" s="97"/>
      <x:c r="X163" s="97"/>
      <x:c r="Y163" s="97"/>
      <x:c r="Z163" s="97"/>
      <x:c r="AA163" s="97"/>
      <x:c r="AB163" s="97"/>
      <x:c r="AC163" s="97"/>
      <x:c r="AD163" s="97"/>
    </x:row>
    <x:row r="164" s="8" customFormat="1">
      <x:c r="O164" s="97"/>
      <x:c r="P164" s="97"/>
      <x:c r="Q164" s="97"/>
      <x:c r="R164" s="97"/>
      <x:c r="S164" s="97"/>
      <x:c r="T164" s="97"/>
      <x:c r="U164" s="97"/>
      <x:c r="V164" s="97"/>
      <x:c r="W164" s="97"/>
      <x:c r="X164" s="97"/>
      <x:c r="Y164" s="97"/>
      <x:c r="Z164" s="97"/>
      <x:c r="AA164" s="97"/>
      <x:c r="AB164" s="97"/>
      <x:c r="AC164" s="97"/>
      <x:c r="AD164" s="97"/>
    </x:row>
    <x:row r="165" s="8" customFormat="1">
      <x:c r="O165" s="97"/>
      <x:c r="P165" s="97"/>
      <x:c r="Q165" s="97"/>
      <x:c r="R165" s="97"/>
      <x:c r="S165" s="97"/>
      <x:c r="T165" s="97"/>
      <x:c r="U165" s="97"/>
      <x:c r="V165" s="97"/>
      <x:c r="W165" s="97"/>
      <x:c r="X165" s="97"/>
      <x:c r="Y165" s="97"/>
      <x:c r="Z165" s="97"/>
      <x:c r="AA165" s="97"/>
      <x:c r="AB165" s="97"/>
      <x:c r="AC165" s="97"/>
      <x:c r="AD165" s="97"/>
    </x:row>
    <x:row r="166" s="8" customFormat="1">
      <x:c r="O166" s="97"/>
      <x:c r="P166" s="97"/>
      <x:c r="Q166" s="97"/>
      <x:c r="R166" s="97"/>
      <x:c r="S166" s="97"/>
      <x:c r="T166" s="97"/>
      <x:c r="U166" s="97"/>
      <x:c r="V166" s="97"/>
      <x:c r="W166" s="97"/>
      <x:c r="X166" s="97"/>
      <x:c r="Y166" s="97"/>
      <x:c r="Z166" s="97"/>
      <x:c r="AA166" s="97"/>
      <x:c r="AB166" s="97"/>
      <x:c r="AC166" s="97"/>
      <x:c r="AD166" s="97"/>
    </x:row>
    <x:row r="167" s="8" customFormat="1">
      <x:c r="O167" s="97"/>
      <x:c r="P167" s="97"/>
      <x:c r="Q167" s="97"/>
      <x:c r="R167" s="97"/>
      <x:c r="S167" s="97"/>
      <x:c r="T167" s="97"/>
      <x:c r="U167" s="97"/>
      <x:c r="V167" s="97"/>
      <x:c r="W167" s="97"/>
      <x:c r="X167" s="97"/>
      <x:c r="Y167" s="97"/>
      <x:c r="Z167" s="97"/>
      <x:c r="AA167" s="97"/>
      <x:c r="AB167" s="97"/>
      <x:c r="AC167" s="97"/>
      <x:c r="AD167" s="97"/>
    </x:row>
    <x:row r="168" s="8" customFormat="1">
      <x:c r="O168" s="97"/>
      <x:c r="P168" s="97"/>
      <x:c r="Q168" s="97"/>
      <x:c r="R168" s="97"/>
      <x:c r="S168" s="97"/>
      <x:c r="T168" s="97"/>
      <x:c r="U168" s="97"/>
      <x:c r="V168" s="97"/>
      <x:c r="W168" s="97"/>
      <x:c r="X168" s="97"/>
      <x:c r="Y168" s="97"/>
      <x:c r="Z168" s="97"/>
      <x:c r="AA168" s="97"/>
      <x:c r="AB168" s="97"/>
      <x:c r="AC168" s="97"/>
      <x:c r="AD168" s="97"/>
    </x:row>
    <x:row r="169" s="8" customFormat="1">
      <x:c r="O169" s="97"/>
      <x:c r="P169" s="97"/>
      <x:c r="Q169" s="97"/>
      <x:c r="R169" s="97"/>
      <x:c r="S169" s="97"/>
      <x:c r="T169" s="97"/>
      <x:c r="U169" s="97"/>
      <x:c r="V169" s="97"/>
      <x:c r="W169" s="97"/>
      <x:c r="X169" s="97"/>
      <x:c r="Y169" s="97"/>
      <x:c r="Z169" s="97"/>
      <x:c r="AA169" s="97"/>
      <x:c r="AB169" s="97"/>
      <x:c r="AC169" s="97"/>
      <x:c r="AD169" s="97"/>
    </x:row>
    <x:row r="170" s="8" customFormat="1">
      <x:c r="O170" s="97"/>
      <x:c r="P170" s="97"/>
      <x:c r="Q170" s="97"/>
      <x:c r="R170" s="97"/>
      <x:c r="S170" s="97"/>
      <x:c r="T170" s="97"/>
      <x:c r="U170" s="97"/>
      <x:c r="V170" s="97"/>
      <x:c r="W170" s="97"/>
      <x:c r="X170" s="97"/>
      <x:c r="Y170" s="97"/>
      <x:c r="Z170" s="97"/>
      <x:c r="AA170" s="97"/>
      <x:c r="AB170" s="97"/>
      <x:c r="AC170" s="97"/>
      <x:c r="AD170" s="97"/>
    </x:row>
    <x:row r="171" s="8" customFormat="1">
      <x:c r="O171" s="97"/>
      <x:c r="P171" s="97"/>
      <x:c r="Q171" s="97"/>
      <x:c r="R171" s="97"/>
      <x:c r="S171" s="97"/>
      <x:c r="T171" s="97"/>
      <x:c r="U171" s="97"/>
      <x:c r="V171" s="97"/>
      <x:c r="W171" s="97"/>
      <x:c r="X171" s="97"/>
      <x:c r="Y171" s="97"/>
      <x:c r="Z171" s="97"/>
      <x:c r="AA171" s="97"/>
      <x:c r="AB171" s="97"/>
      <x:c r="AC171" s="97"/>
      <x:c r="AD171" s="97"/>
    </x:row>
    <x:row r="172" s="8" customFormat="1">
      <x:c r="O172" s="97"/>
      <x:c r="P172" s="97"/>
      <x:c r="Q172" s="97"/>
      <x:c r="R172" s="97"/>
      <x:c r="S172" s="97"/>
      <x:c r="T172" s="97"/>
      <x:c r="U172" s="97"/>
      <x:c r="V172" s="97"/>
      <x:c r="W172" s="97"/>
      <x:c r="X172" s="97"/>
      <x:c r="Y172" s="97"/>
      <x:c r="Z172" s="97"/>
      <x:c r="AA172" s="97"/>
      <x:c r="AB172" s="97"/>
      <x:c r="AC172" s="97"/>
      <x:c r="AD172" s="97"/>
    </x:row>
    <x:row r="173" s="8" customFormat="1">
      <x:c r="O173" s="97"/>
      <x:c r="P173" s="97"/>
      <x:c r="Q173" s="97"/>
      <x:c r="R173" s="97"/>
      <x:c r="S173" s="97"/>
      <x:c r="T173" s="97"/>
      <x:c r="U173" s="97"/>
      <x:c r="V173" s="97"/>
      <x:c r="W173" s="97"/>
      <x:c r="X173" s="97"/>
      <x:c r="Y173" s="97"/>
      <x:c r="Z173" s="97"/>
      <x:c r="AA173" s="97"/>
      <x:c r="AB173" s="97"/>
      <x:c r="AC173" s="97"/>
      <x:c r="AD173" s="97"/>
    </x:row>
    <x:row r="174" s="8" customFormat="1">
      <x:c r="O174" s="97"/>
      <x:c r="P174" s="97"/>
      <x:c r="Q174" s="97"/>
      <x:c r="R174" s="97"/>
      <x:c r="S174" s="97"/>
      <x:c r="T174" s="97"/>
      <x:c r="U174" s="97"/>
      <x:c r="V174" s="97"/>
      <x:c r="W174" s="97"/>
      <x:c r="X174" s="97"/>
      <x:c r="Y174" s="97"/>
      <x:c r="Z174" s="97"/>
      <x:c r="AA174" s="97"/>
      <x:c r="AB174" s="97"/>
      <x:c r="AC174" s="97"/>
      <x:c r="AD174" s="97"/>
    </x:row>
    <x:row r="175" s="8" customFormat="1">
      <x:c r="O175" s="97"/>
      <x:c r="P175" s="97"/>
      <x:c r="Q175" s="97"/>
      <x:c r="R175" s="97"/>
      <x:c r="S175" s="97"/>
      <x:c r="T175" s="97"/>
      <x:c r="U175" s="97"/>
      <x:c r="V175" s="97"/>
      <x:c r="W175" s="97"/>
      <x:c r="X175" s="97"/>
      <x:c r="Y175" s="97"/>
      <x:c r="Z175" s="97"/>
      <x:c r="AA175" s="97"/>
      <x:c r="AB175" s="97"/>
      <x:c r="AC175" s="97"/>
      <x:c r="AD175" s="97"/>
    </x:row>
    <x:row r="176" s="8" customFormat="1">
      <x:c r="O176" s="97"/>
      <x:c r="P176" s="97"/>
      <x:c r="Q176" s="97"/>
      <x:c r="R176" s="97"/>
      <x:c r="S176" s="97"/>
      <x:c r="T176" s="97"/>
      <x:c r="U176" s="97"/>
      <x:c r="V176" s="97"/>
      <x:c r="W176" s="97"/>
      <x:c r="X176" s="97"/>
      <x:c r="Y176" s="97"/>
      <x:c r="Z176" s="97"/>
      <x:c r="AA176" s="97"/>
      <x:c r="AB176" s="97"/>
      <x:c r="AC176" s="97"/>
      <x:c r="AD176" s="97"/>
    </x:row>
    <x:row r="177" s="8" customFormat="1">
      <x:c r="O177" s="97"/>
      <x:c r="P177" s="97"/>
      <x:c r="Q177" s="97"/>
      <x:c r="R177" s="97"/>
      <x:c r="S177" s="97"/>
      <x:c r="T177" s="97"/>
      <x:c r="U177" s="97"/>
      <x:c r="V177" s="97"/>
      <x:c r="W177" s="97"/>
      <x:c r="X177" s="97"/>
      <x:c r="Y177" s="97"/>
      <x:c r="Z177" s="97"/>
      <x:c r="AA177" s="97"/>
      <x:c r="AB177" s="97"/>
      <x:c r="AC177" s="97"/>
      <x:c r="AD177" s="97"/>
    </x:row>
    <x:row r="178" s="8" customFormat="1">
      <x:c r="O178" s="97"/>
      <x:c r="P178" s="97"/>
      <x:c r="Q178" s="97"/>
      <x:c r="R178" s="97"/>
      <x:c r="S178" s="97"/>
      <x:c r="T178" s="97"/>
      <x:c r="U178" s="97"/>
      <x:c r="V178" s="97"/>
      <x:c r="W178" s="97"/>
      <x:c r="X178" s="97"/>
      <x:c r="Y178" s="97"/>
      <x:c r="Z178" s="97"/>
      <x:c r="AA178" s="97"/>
      <x:c r="AB178" s="97"/>
      <x:c r="AC178" s="97"/>
      <x:c r="AD178" s="97"/>
    </x:row>
    <x:row r="179" s="8" customFormat="1">
      <x:c r="O179" s="97"/>
      <x:c r="P179" s="97"/>
      <x:c r="Q179" s="97"/>
      <x:c r="R179" s="97"/>
      <x:c r="S179" s="97"/>
      <x:c r="T179" s="97"/>
      <x:c r="U179" s="97"/>
      <x:c r="V179" s="97"/>
      <x:c r="W179" s="97"/>
      <x:c r="X179" s="97"/>
      <x:c r="Y179" s="97"/>
      <x:c r="Z179" s="97"/>
      <x:c r="AA179" s="97"/>
      <x:c r="AB179" s="97"/>
      <x:c r="AC179" s="97"/>
      <x:c r="AD179" s="97"/>
    </x:row>
    <x:row r="180" s="8" customFormat="1">
      <x:c r="O180" s="97"/>
      <x:c r="P180" s="97"/>
      <x:c r="Q180" s="97"/>
      <x:c r="R180" s="97"/>
      <x:c r="S180" s="97"/>
      <x:c r="T180" s="97"/>
      <x:c r="U180" s="97"/>
      <x:c r="V180" s="97"/>
      <x:c r="W180" s="97"/>
      <x:c r="X180" s="97"/>
      <x:c r="Y180" s="97"/>
      <x:c r="Z180" s="97"/>
      <x:c r="AA180" s="97"/>
      <x:c r="AB180" s="97"/>
      <x:c r="AC180" s="97"/>
      <x:c r="AD180" s="97"/>
    </x:row>
    <x:row r="181" s="8" customFormat="1">
      <x:c r="O181" s="97"/>
      <x:c r="P181" s="97"/>
      <x:c r="Q181" s="97"/>
      <x:c r="R181" s="97"/>
      <x:c r="S181" s="97"/>
      <x:c r="T181" s="97"/>
      <x:c r="U181" s="97"/>
      <x:c r="V181" s="97"/>
      <x:c r="W181" s="97"/>
      <x:c r="X181" s="97"/>
      <x:c r="Y181" s="97"/>
      <x:c r="Z181" s="97"/>
      <x:c r="AA181" s="97"/>
      <x:c r="AB181" s="97"/>
      <x:c r="AC181" s="97"/>
      <x:c r="AD181" s="97"/>
    </x:row>
    <x:row r="182" s="8" customFormat="1">
      <x:c r="O182" s="97"/>
      <x:c r="P182" s="97"/>
      <x:c r="Q182" s="97"/>
      <x:c r="R182" s="97"/>
      <x:c r="S182" s="97"/>
      <x:c r="T182" s="97"/>
      <x:c r="U182" s="97"/>
      <x:c r="V182" s="97"/>
      <x:c r="W182" s="97"/>
      <x:c r="X182" s="97"/>
      <x:c r="Y182" s="97"/>
      <x:c r="Z182" s="97"/>
      <x:c r="AA182" s="97"/>
      <x:c r="AB182" s="97"/>
      <x:c r="AC182" s="97"/>
      <x:c r="AD182" s="97"/>
    </x:row>
    <x:row r="183" s="8" customFormat="1">
      <x:c r="O183" s="97"/>
      <x:c r="P183" s="97"/>
      <x:c r="Q183" s="97"/>
      <x:c r="R183" s="97"/>
      <x:c r="S183" s="97"/>
      <x:c r="T183" s="97"/>
      <x:c r="U183" s="97"/>
      <x:c r="V183" s="97"/>
      <x:c r="W183" s="97"/>
      <x:c r="X183" s="97"/>
      <x:c r="Y183" s="97"/>
      <x:c r="Z183" s="97"/>
      <x:c r="AA183" s="97"/>
      <x:c r="AB183" s="97"/>
      <x:c r="AC183" s="97"/>
      <x:c r="AD183" s="97"/>
    </x:row>
    <x:row r="184" s="8" customFormat="1">
      <x:c r="O184" s="97"/>
      <x:c r="P184" s="97"/>
      <x:c r="Q184" s="97"/>
      <x:c r="R184" s="97"/>
      <x:c r="S184" s="97"/>
      <x:c r="T184" s="97"/>
      <x:c r="U184" s="97"/>
      <x:c r="V184" s="97"/>
      <x:c r="W184" s="97"/>
      <x:c r="X184" s="97"/>
      <x:c r="Y184" s="97"/>
      <x:c r="Z184" s="97"/>
      <x:c r="AA184" s="97"/>
      <x:c r="AB184" s="97"/>
      <x:c r="AC184" s="97"/>
      <x:c r="AD184" s="97"/>
    </x:row>
    <x:row r="185" s="8" customFormat="1">
      <x:c r="O185" s="97"/>
      <x:c r="P185" s="97"/>
      <x:c r="Q185" s="97"/>
      <x:c r="R185" s="97"/>
      <x:c r="S185" s="97"/>
      <x:c r="T185" s="97"/>
      <x:c r="U185" s="97"/>
      <x:c r="V185" s="97"/>
      <x:c r="W185" s="97"/>
      <x:c r="X185" s="97"/>
      <x:c r="Y185" s="97"/>
      <x:c r="Z185" s="97"/>
      <x:c r="AA185" s="97"/>
      <x:c r="AB185" s="97"/>
      <x:c r="AC185" s="97"/>
      <x:c r="AD185" s="97"/>
    </x:row>
    <x:row r="186" s="8" customFormat="1">
      <x:c r="O186" s="97"/>
      <x:c r="P186" s="97"/>
      <x:c r="Q186" s="97"/>
      <x:c r="R186" s="97"/>
      <x:c r="S186" s="97"/>
      <x:c r="T186" s="97"/>
      <x:c r="U186" s="97"/>
      <x:c r="V186" s="97"/>
      <x:c r="W186" s="97"/>
      <x:c r="X186" s="97"/>
      <x:c r="Y186" s="97"/>
      <x:c r="Z186" s="97"/>
      <x:c r="AA186" s="97"/>
      <x:c r="AB186" s="97"/>
      <x:c r="AC186" s="97"/>
      <x:c r="AD186" s="97"/>
    </x:row>
    <x:row r="187" s="8" customFormat="1">
      <x:c r="O187" s="97"/>
      <x:c r="P187" s="97"/>
      <x:c r="Q187" s="97"/>
      <x:c r="R187" s="97"/>
      <x:c r="S187" s="97"/>
      <x:c r="T187" s="97"/>
      <x:c r="U187" s="97"/>
      <x:c r="V187" s="97"/>
      <x:c r="W187" s="97"/>
      <x:c r="X187" s="97"/>
      <x:c r="Y187" s="97"/>
      <x:c r="Z187" s="97"/>
      <x:c r="AA187" s="97"/>
      <x:c r="AB187" s="97"/>
      <x:c r="AC187" s="97"/>
      <x:c r="AD187" s="97"/>
    </x:row>
    <x:row r="188" s="8" customFormat="1">
      <x:c r="O188" s="97"/>
      <x:c r="P188" s="97"/>
      <x:c r="Q188" s="97"/>
      <x:c r="R188" s="97"/>
      <x:c r="S188" s="97"/>
      <x:c r="T188" s="97"/>
      <x:c r="U188" s="97"/>
      <x:c r="V188" s="97"/>
      <x:c r="W188" s="97"/>
      <x:c r="X188" s="97"/>
      <x:c r="Y188" s="97"/>
      <x:c r="Z188" s="97"/>
      <x:c r="AA188" s="97"/>
      <x:c r="AB188" s="97"/>
      <x:c r="AC188" s="97"/>
      <x:c r="AD188" s="97"/>
    </x:row>
    <x:row r="189" s="8" customFormat="1">
      <x:c r="O189" s="97"/>
      <x:c r="P189" s="97"/>
      <x:c r="Q189" s="97"/>
      <x:c r="R189" s="97"/>
      <x:c r="S189" s="97"/>
      <x:c r="T189" s="97"/>
      <x:c r="U189" s="97"/>
      <x:c r="V189" s="97"/>
      <x:c r="W189" s="97"/>
      <x:c r="X189" s="97"/>
      <x:c r="Y189" s="97"/>
      <x:c r="Z189" s="97"/>
      <x:c r="AA189" s="97"/>
      <x:c r="AB189" s="97"/>
      <x:c r="AC189" s="97"/>
      <x:c r="AD189" s="97"/>
    </x:row>
    <x:row r="190" s="8" customFormat="1">
      <x:c r="O190" s="97"/>
      <x:c r="P190" s="97"/>
      <x:c r="Q190" s="97"/>
      <x:c r="R190" s="97"/>
      <x:c r="S190" s="97"/>
      <x:c r="T190" s="97"/>
      <x:c r="U190" s="97"/>
      <x:c r="V190" s="97"/>
      <x:c r="W190" s="97"/>
      <x:c r="X190" s="97"/>
      <x:c r="Y190" s="97"/>
      <x:c r="Z190" s="97"/>
      <x:c r="AA190" s="97"/>
      <x:c r="AB190" s="97"/>
      <x:c r="AC190" s="97"/>
      <x:c r="AD190" s="97"/>
    </x:row>
    <x:row r="191" s="8" customFormat="1">
      <x:c r="O191" s="97"/>
      <x:c r="P191" s="97"/>
      <x:c r="Q191" s="97"/>
      <x:c r="R191" s="97"/>
      <x:c r="S191" s="97"/>
      <x:c r="T191" s="97"/>
      <x:c r="U191" s="97"/>
      <x:c r="V191" s="97"/>
      <x:c r="W191" s="97"/>
      <x:c r="X191" s="97"/>
      <x:c r="Y191" s="97"/>
      <x:c r="Z191" s="97"/>
      <x:c r="AA191" s="97"/>
      <x:c r="AB191" s="97"/>
      <x:c r="AC191" s="97"/>
      <x:c r="AD191" s="97"/>
    </x:row>
    <x:row r="192" s="8" customFormat="1">
      <x:c r="O192" s="97"/>
      <x:c r="P192" s="97"/>
      <x:c r="Q192" s="97"/>
      <x:c r="R192" s="97"/>
      <x:c r="S192" s="97"/>
      <x:c r="T192" s="97"/>
      <x:c r="U192" s="97"/>
      <x:c r="V192" s="97"/>
      <x:c r="W192" s="97"/>
      <x:c r="X192" s="97"/>
      <x:c r="Y192" s="97"/>
      <x:c r="Z192" s="97"/>
      <x:c r="AA192" s="97"/>
      <x:c r="AB192" s="97"/>
      <x:c r="AC192" s="97"/>
      <x:c r="AD192" s="97"/>
    </x:row>
    <x:row r="193" s="8" customFormat="1">
      <x:c r="O193" s="97"/>
      <x:c r="P193" s="97"/>
      <x:c r="Q193" s="97"/>
      <x:c r="R193" s="97"/>
      <x:c r="S193" s="97"/>
      <x:c r="T193" s="97"/>
      <x:c r="U193" s="97"/>
      <x:c r="V193" s="97"/>
      <x:c r="W193" s="97"/>
      <x:c r="X193" s="97"/>
      <x:c r="Y193" s="97"/>
      <x:c r="Z193" s="97"/>
      <x:c r="AA193" s="97"/>
      <x:c r="AB193" s="97"/>
      <x:c r="AC193" s="97"/>
      <x:c r="AD193" s="97"/>
    </x:row>
    <x:row r="194" s="8" customFormat="1">
      <x:c r="O194" s="97"/>
      <x:c r="P194" s="97"/>
      <x:c r="Q194" s="97"/>
      <x:c r="R194" s="97"/>
      <x:c r="S194" s="97"/>
      <x:c r="T194" s="97"/>
      <x:c r="U194" s="97"/>
      <x:c r="V194" s="97"/>
      <x:c r="W194" s="97"/>
      <x:c r="X194" s="97"/>
      <x:c r="Y194" s="97"/>
      <x:c r="Z194" s="97"/>
      <x:c r="AA194" s="97"/>
      <x:c r="AB194" s="97"/>
      <x:c r="AC194" s="97"/>
      <x:c r="AD194" s="97"/>
    </x:row>
    <x:row r="195" s="8" customFormat="1">
      <x:c r="O195" s="97"/>
      <x:c r="P195" s="97"/>
      <x:c r="Q195" s="97"/>
      <x:c r="R195" s="97"/>
      <x:c r="S195" s="97"/>
      <x:c r="T195" s="97"/>
      <x:c r="U195" s="97"/>
      <x:c r="V195" s="97"/>
      <x:c r="W195" s="97"/>
      <x:c r="X195" s="97"/>
      <x:c r="Y195" s="97"/>
      <x:c r="Z195" s="97"/>
      <x:c r="AA195" s="97"/>
      <x:c r="AB195" s="97"/>
      <x:c r="AC195" s="97"/>
      <x:c r="AD195" s="97"/>
    </x:row>
    <x:row r="196" s="8" customFormat="1">
      <x:c r="O196" s="97"/>
      <x:c r="P196" s="97"/>
      <x:c r="Q196" s="97"/>
      <x:c r="R196" s="97"/>
      <x:c r="S196" s="97"/>
      <x:c r="T196" s="97"/>
      <x:c r="U196" s="97"/>
      <x:c r="V196" s="97"/>
      <x:c r="W196" s="97"/>
      <x:c r="X196" s="97"/>
      <x:c r="Y196" s="97"/>
      <x:c r="Z196" s="97"/>
      <x:c r="AA196" s="97"/>
      <x:c r="AB196" s="97"/>
      <x:c r="AC196" s="97"/>
      <x:c r="AD196" s="97"/>
    </x:row>
    <x:row r="197" s="8" customFormat="1">
      <x:c r="O197" s="97"/>
      <x:c r="P197" s="97"/>
      <x:c r="Q197" s="97"/>
      <x:c r="R197" s="97"/>
      <x:c r="S197" s="97"/>
      <x:c r="T197" s="97"/>
      <x:c r="U197" s="97"/>
      <x:c r="V197" s="97"/>
      <x:c r="W197" s="97"/>
      <x:c r="X197" s="97"/>
      <x:c r="Y197" s="97"/>
      <x:c r="Z197" s="97"/>
      <x:c r="AA197" s="97"/>
      <x:c r="AB197" s="97"/>
      <x:c r="AC197" s="97"/>
      <x:c r="AD197" s="97"/>
    </x:row>
    <x:row r="198" s="8" customFormat="1">
      <x:c r="O198" s="97"/>
      <x:c r="P198" s="97"/>
      <x:c r="Q198" s="97"/>
      <x:c r="R198" s="97"/>
      <x:c r="S198" s="97"/>
      <x:c r="T198" s="97"/>
      <x:c r="U198" s="97"/>
      <x:c r="V198" s="97"/>
      <x:c r="W198" s="97"/>
      <x:c r="X198" s="97"/>
      <x:c r="Y198" s="97"/>
      <x:c r="Z198" s="97"/>
      <x:c r="AA198" s="97"/>
      <x:c r="AB198" s="97"/>
      <x:c r="AC198" s="97"/>
      <x:c r="AD198" s="97"/>
    </x:row>
    <x:row r="199" s="8" customFormat="1">
      <x:c r="O199" s="97"/>
      <x:c r="P199" s="97"/>
      <x:c r="Q199" s="97"/>
      <x:c r="R199" s="97"/>
      <x:c r="S199" s="97"/>
      <x:c r="T199" s="97"/>
      <x:c r="U199" s="97"/>
      <x:c r="V199" s="97"/>
      <x:c r="W199" s="97"/>
      <x:c r="X199" s="97"/>
      <x:c r="Y199" s="97"/>
      <x:c r="Z199" s="97"/>
      <x:c r="AA199" s="97"/>
      <x:c r="AB199" s="97"/>
      <x:c r="AC199" s="97"/>
      <x:c r="AD199" s="97"/>
    </x:row>
    <x:row r="200" s="8" customFormat="1">
      <x:c r="O200" s="97"/>
      <x:c r="P200" s="97"/>
      <x:c r="Q200" s="97"/>
      <x:c r="R200" s="97"/>
      <x:c r="S200" s="97"/>
      <x:c r="T200" s="97"/>
      <x:c r="U200" s="97"/>
      <x:c r="V200" s="97"/>
      <x:c r="W200" s="97"/>
      <x:c r="X200" s="97"/>
      <x:c r="Y200" s="97"/>
      <x:c r="Z200" s="97"/>
      <x:c r="AA200" s="97"/>
      <x:c r="AB200" s="97"/>
      <x:c r="AC200" s="97"/>
      <x:c r="AD200" s="97"/>
    </x:row>
    <x:row r="201" s="8" customFormat="1">
      <x:c r="O201" s="97"/>
      <x:c r="P201" s="97"/>
      <x:c r="Q201" s="97"/>
      <x:c r="R201" s="97"/>
      <x:c r="S201" s="97"/>
      <x:c r="T201" s="97"/>
      <x:c r="U201" s="97"/>
      <x:c r="V201" s="97"/>
      <x:c r="W201" s="97"/>
      <x:c r="X201" s="97"/>
      <x:c r="Y201" s="97"/>
      <x:c r="Z201" s="97"/>
      <x:c r="AA201" s="97"/>
      <x:c r="AB201" s="97"/>
      <x:c r="AC201" s="97"/>
      <x:c r="AD201" s="97"/>
    </x:row>
    <x:row r="202" s="8" customFormat="1">
      <x:c r="O202" s="97"/>
      <x:c r="P202" s="97"/>
      <x:c r="Q202" s="97"/>
      <x:c r="R202" s="97"/>
      <x:c r="S202" s="97"/>
      <x:c r="T202" s="97"/>
      <x:c r="U202" s="97"/>
      <x:c r="V202" s="97"/>
      <x:c r="W202" s="97"/>
      <x:c r="X202" s="97"/>
      <x:c r="Y202" s="97"/>
      <x:c r="Z202" s="97"/>
      <x:c r="AA202" s="97"/>
      <x:c r="AB202" s="97"/>
      <x:c r="AC202" s="97"/>
      <x:c r="AD202" s="97"/>
    </x:row>
    <x:row r="203" s="8" customFormat="1">
      <x:c r="O203" s="97"/>
      <x:c r="P203" s="97"/>
      <x:c r="Q203" s="97"/>
      <x:c r="R203" s="97"/>
      <x:c r="S203" s="97"/>
      <x:c r="T203" s="97"/>
      <x:c r="U203" s="97"/>
      <x:c r="V203" s="97"/>
      <x:c r="W203" s="97"/>
      <x:c r="X203" s="97"/>
      <x:c r="Y203" s="97"/>
      <x:c r="Z203" s="97"/>
      <x:c r="AA203" s="97"/>
      <x:c r="AB203" s="97"/>
      <x:c r="AC203" s="97"/>
      <x:c r="AD203" s="97"/>
    </x:row>
    <x:row r="204" s="8" customFormat="1">
      <x:c r="O204" s="97"/>
      <x:c r="P204" s="97"/>
      <x:c r="Q204" s="97"/>
      <x:c r="R204" s="97"/>
      <x:c r="S204" s="97"/>
      <x:c r="T204" s="97"/>
      <x:c r="U204" s="97"/>
      <x:c r="V204" s="97"/>
      <x:c r="W204" s="97"/>
      <x:c r="X204" s="97"/>
      <x:c r="Y204" s="97"/>
      <x:c r="Z204" s="97"/>
      <x:c r="AA204" s="97"/>
      <x:c r="AB204" s="97"/>
      <x:c r="AC204" s="97"/>
      <x:c r="AD204" s="97"/>
    </x:row>
    <x:row r="205" s="8" customFormat="1">
      <x:c r="O205" s="97"/>
      <x:c r="P205" s="97"/>
      <x:c r="Q205" s="97"/>
      <x:c r="R205" s="97"/>
      <x:c r="S205" s="97"/>
      <x:c r="T205" s="97"/>
      <x:c r="U205" s="97"/>
      <x:c r="V205" s="97"/>
      <x:c r="W205" s="97"/>
      <x:c r="X205" s="97"/>
      <x:c r="Y205" s="97"/>
      <x:c r="Z205" s="97"/>
      <x:c r="AA205" s="97"/>
      <x:c r="AB205" s="97"/>
      <x:c r="AC205" s="97"/>
      <x:c r="AD205" s="97"/>
    </x:row>
    <x:row r="206" s="8" customFormat="1">
      <x:c r="O206" s="97"/>
      <x:c r="P206" s="97"/>
      <x:c r="Q206" s="97"/>
      <x:c r="R206" s="97"/>
      <x:c r="S206" s="97"/>
      <x:c r="T206" s="97"/>
      <x:c r="U206" s="97"/>
      <x:c r="V206" s="97"/>
      <x:c r="W206" s="97"/>
      <x:c r="X206" s="97"/>
      <x:c r="Y206" s="97"/>
      <x:c r="Z206" s="97"/>
      <x:c r="AA206" s="97"/>
      <x:c r="AB206" s="97"/>
      <x:c r="AC206" s="97"/>
      <x:c r="AD206" s="97"/>
    </x:row>
    <x:row r="207" s="8" customFormat="1">
      <x:c r="O207" s="97"/>
      <x:c r="P207" s="97"/>
      <x:c r="Q207" s="97"/>
      <x:c r="R207" s="97"/>
      <x:c r="S207" s="97"/>
      <x:c r="T207" s="97"/>
      <x:c r="U207" s="97"/>
      <x:c r="V207" s="97"/>
      <x:c r="W207" s="97"/>
      <x:c r="X207" s="97"/>
      <x:c r="Y207" s="97"/>
      <x:c r="Z207" s="97"/>
      <x:c r="AA207" s="97"/>
      <x:c r="AB207" s="97"/>
      <x:c r="AC207" s="97"/>
      <x:c r="AD207" s="97"/>
    </x:row>
    <x:row r="208" s="8" customFormat="1">
      <x:c r="O208" s="97"/>
      <x:c r="P208" s="97"/>
      <x:c r="Q208" s="97"/>
      <x:c r="R208" s="97"/>
      <x:c r="S208" s="97"/>
      <x:c r="T208" s="97"/>
      <x:c r="U208" s="97"/>
      <x:c r="V208" s="97"/>
      <x:c r="W208" s="97"/>
      <x:c r="X208" s="97"/>
      <x:c r="Y208" s="97"/>
      <x:c r="Z208" s="97"/>
      <x:c r="AA208" s="97"/>
      <x:c r="AB208" s="97"/>
      <x:c r="AC208" s="97"/>
      <x:c r="AD208" s="97"/>
    </x:row>
    <x:row r="209" s="8" customFormat="1">
      <x:c r="O209" s="97"/>
      <x:c r="P209" s="97"/>
      <x:c r="Q209" s="97"/>
      <x:c r="R209" s="97"/>
      <x:c r="S209" s="97"/>
      <x:c r="T209" s="97"/>
      <x:c r="U209" s="97"/>
      <x:c r="V209" s="97"/>
      <x:c r="W209" s="97"/>
      <x:c r="X209" s="97"/>
      <x:c r="Y209" s="97"/>
      <x:c r="Z209" s="97"/>
      <x:c r="AA209" s="97"/>
      <x:c r="AB209" s="97"/>
      <x:c r="AC209" s="97"/>
      <x:c r="AD209" s="97"/>
    </x:row>
    <x:row r="210" s="8" customFormat="1">
      <x:c r="O210" s="97"/>
      <x:c r="P210" s="97"/>
      <x:c r="Q210" s="97"/>
      <x:c r="R210" s="97"/>
      <x:c r="S210" s="97"/>
      <x:c r="T210" s="97"/>
      <x:c r="U210" s="97"/>
      <x:c r="V210" s="97"/>
      <x:c r="W210" s="97"/>
      <x:c r="X210" s="97"/>
      <x:c r="Y210" s="97"/>
      <x:c r="Z210" s="97"/>
      <x:c r="AA210" s="97"/>
      <x:c r="AB210" s="97"/>
      <x:c r="AC210" s="97"/>
      <x:c r="AD210" s="97"/>
    </x:row>
    <x:row r="211" s="8" customFormat="1">
      <x:c r="O211" s="97"/>
      <x:c r="P211" s="97"/>
      <x:c r="Q211" s="97"/>
      <x:c r="R211" s="97"/>
      <x:c r="S211" s="97"/>
      <x:c r="T211" s="97"/>
      <x:c r="U211" s="97"/>
      <x:c r="V211" s="97"/>
      <x:c r="W211" s="97"/>
      <x:c r="X211" s="97"/>
      <x:c r="Y211" s="97"/>
      <x:c r="Z211" s="97"/>
      <x:c r="AA211" s="97"/>
      <x:c r="AB211" s="97"/>
      <x:c r="AC211" s="97"/>
      <x:c r="AD211" s="97"/>
    </x:row>
    <x:row r="212" s="8" customFormat="1">
      <x:c r="O212" s="97"/>
      <x:c r="P212" s="97"/>
      <x:c r="Q212" s="97"/>
      <x:c r="R212" s="97"/>
      <x:c r="S212" s="97"/>
      <x:c r="T212" s="97"/>
      <x:c r="U212" s="97"/>
      <x:c r="V212" s="97"/>
      <x:c r="W212" s="97"/>
      <x:c r="X212" s="97"/>
      <x:c r="Y212" s="97"/>
      <x:c r="Z212" s="97"/>
      <x:c r="AA212" s="97"/>
      <x:c r="AB212" s="97"/>
      <x:c r="AC212" s="97"/>
      <x:c r="AD212" s="97"/>
    </x:row>
    <x:row r="213" s="8" customFormat="1">
      <x:c r="O213" s="97"/>
      <x:c r="P213" s="97"/>
      <x:c r="Q213" s="97"/>
      <x:c r="R213" s="97"/>
      <x:c r="S213" s="97"/>
      <x:c r="T213" s="97"/>
      <x:c r="U213" s="97"/>
      <x:c r="V213" s="97"/>
      <x:c r="W213" s="97"/>
      <x:c r="X213" s="97"/>
      <x:c r="Y213" s="97"/>
      <x:c r="Z213" s="97"/>
      <x:c r="AA213" s="97"/>
      <x:c r="AB213" s="97"/>
      <x:c r="AC213" s="97"/>
      <x:c r="AD213" s="97"/>
    </x:row>
    <x:row r="214" s="8" customFormat="1">
      <x:c r="O214" s="97"/>
      <x:c r="P214" s="97"/>
      <x:c r="Q214" s="97"/>
      <x:c r="R214" s="97"/>
      <x:c r="S214" s="97"/>
      <x:c r="T214" s="97"/>
      <x:c r="U214" s="97"/>
      <x:c r="V214" s="97"/>
      <x:c r="W214" s="97"/>
      <x:c r="X214" s="97"/>
      <x:c r="Y214" s="97"/>
      <x:c r="Z214" s="97"/>
      <x:c r="AA214" s="97"/>
      <x:c r="AB214" s="97"/>
      <x:c r="AC214" s="97"/>
      <x:c r="AD214" s="97"/>
    </x:row>
    <x:row r="215" s="8" customFormat="1">
      <x:c r="O215" s="97"/>
      <x:c r="P215" s="97"/>
      <x:c r="Q215" s="97"/>
      <x:c r="R215" s="97"/>
      <x:c r="S215" s="97"/>
      <x:c r="T215" s="97"/>
      <x:c r="U215" s="97"/>
      <x:c r="V215" s="97"/>
      <x:c r="W215" s="97"/>
      <x:c r="X215" s="97"/>
      <x:c r="Y215" s="97"/>
      <x:c r="Z215" s="97"/>
      <x:c r="AA215" s="97"/>
      <x:c r="AB215" s="97"/>
      <x:c r="AC215" s="97"/>
      <x:c r="AD215" s="97"/>
    </x:row>
    <x:row r="216" s="8" customFormat="1">
      <x:c r="O216" s="97"/>
      <x:c r="P216" s="97"/>
      <x:c r="Q216" s="97"/>
      <x:c r="R216" s="97"/>
      <x:c r="S216" s="97"/>
      <x:c r="T216" s="97"/>
      <x:c r="U216" s="97"/>
      <x:c r="V216" s="97"/>
      <x:c r="W216" s="97"/>
      <x:c r="X216" s="97"/>
      <x:c r="Y216" s="97"/>
      <x:c r="Z216" s="97"/>
      <x:c r="AA216" s="97"/>
      <x:c r="AB216" s="97"/>
      <x:c r="AC216" s="97"/>
      <x:c r="AD216" s="97"/>
    </x:row>
    <x:row r="217" s="8" customFormat="1">
      <x:c r="O217" s="97"/>
      <x:c r="P217" s="97"/>
      <x:c r="Q217" s="97"/>
      <x:c r="R217" s="97"/>
      <x:c r="S217" s="97"/>
      <x:c r="T217" s="97"/>
      <x:c r="U217" s="97"/>
      <x:c r="V217" s="97"/>
      <x:c r="W217" s="97"/>
      <x:c r="X217" s="97"/>
      <x:c r="Y217" s="97"/>
      <x:c r="Z217" s="97"/>
      <x:c r="AA217" s="97"/>
      <x:c r="AB217" s="97"/>
      <x:c r="AC217" s="97"/>
      <x:c r="AD217" s="97"/>
    </x:row>
    <x:row r="218" s="8" customFormat="1">
      <x:c r="O218" s="97"/>
      <x:c r="P218" s="97"/>
      <x:c r="Q218" s="97"/>
      <x:c r="R218" s="97"/>
      <x:c r="S218" s="97"/>
      <x:c r="T218" s="97"/>
      <x:c r="U218" s="97"/>
      <x:c r="V218" s="97"/>
      <x:c r="W218" s="97"/>
      <x:c r="X218" s="97"/>
      <x:c r="Y218" s="97"/>
      <x:c r="Z218" s="97"/>
      <x:c r="AA218" s="97"/>
      <x:c r="AB218" s="97"/>
      <x:c r="AC218" s="97"/>
      <x:c r="AD218" s="97"/>
    </x:row>
    <x:row r="219" s="8" customFormat="1">
      <x:c r="O219" s="97"/>
      <x:c r="P219" s="97"/>
      <x:c r="Q219" s="97"/>
      <x:c r="R219" s="97"/>
      <x:c r="S219" s="97"/>
      <x:c r="T219" s="97"/>
      <x:c r="U219" s="97"/>
      <x:c r="V219" s="97"/>
      <x:c r="W219" s="97"/>
      <x:c r="X219" s="97"/>
      <x:c r="Y219" s="97"/>
      <x:c r="Z219" s="97"/>
      <x:c r="AA219" s="97"/>
      <x:c r="AB219" s="97"/>
      <x:c r="AC219" s="97"/>
      <x:c r="AD219" s="97"/>
    </x:row>
    <x:row r="220" s="8" customFormat="1">
      <x:c r="O220" s="97"/>
      <x:c r="P220" s="97"/>
      <x:c r="Q220" s="97"/>
      <x:c r="R220" s="97"/>
      <x:c r="S220" s="97"/>
      <x:c r="T220" s="97"/>
      <x:c r="U220" s="97"/>
      <x:c r="V220" s="97"/>
      <x:c r="W220" s="97"/>
      <x:c r="X220" s="97"/>
      <x:c r="Y220" s="97"/>
      <x:c r="Z220" s="97"/>
      <x:c r="AA220" s="97"/>
      <x:c r="AB220" s="97"/>
      <x:c r="AC220" s="97"/>
      <x:c r="AD220" s="97"/>
    </x:row>
    <x:row r="221" s="8" customFormat="1">
      <x:c r="O221" s="97"/>
      <x:c r="P221" s="97"/>
      <x:c r="Q221" s="97"/>
      <x:c r="R221" s="97"/>
      <x:c r="S221" s="97"/>
      <x:c r="T221" s="97"/>
      <x:c r="U221" s="97"/>
      <x:c r="V221" s="97"/>
      <x:c r="W221" s="97"/>
      <x:c r="X221" s="97"/>
      <x:c r="Y221" s="97"/>
      <x:c r="Z221" s="97"/>
      <x:c r="AA221" s="97"/>
      <x:c r="AB221" s="97"/>
      <x:c r="AC221" s="97"/>
      <x:c r="AD221" s="97"/>
    </x:row>
    <x:row r="222" s="8" customFormat="1">
      <x:c r="O222" s="97"/>
      <x:c r="P222" s="97"/>
      <x:c r="Q222" s="97"/>
      <x:c r="R222" s="97"/>
      <x:c r="S222" s="97"/>
      <x:c r="T222" s="97"/>
      <x:c r="U222" s="97"/>
      <x:c r="V222" s="97"/>
      <x:c r="W222" s="97"/>
      <x:c r="X222" s="97"/>
      <x:c r="Y222" s="97"/>
      <x:c r="Z222" s="97"/>
      <x:c r="AA222" s="97"/>
      <x:c r="AB222" s="97"/>
      <x:c r="AC222" s="97"/>
      <x:c r="AD222" s="97"/>
    </x:row>
    <x:row r="223" s="8" customFormat="1">
      <x:c r="O223" s="97"/>
      <x:c r="P223" s="97"/>
      <x:c r="Q223" s="97"/>
      <x:c r="R223" s="97"/>
      <x:c r="S223" s="97"/>
      <x:c r="T223" s="97"/>
      <x:c r="U223" s="97"/>
      <x:c r="V223" s="97"/>
      <x:c r="W223" s="97"/>
      <x:c r="X223" s="97"/>
      <x:c r="Y223" s="97"/>
      <x:c r="Z223" s="97"/>
      <x:c r="AA223" s="97"/>
      <x:c r="AB223" s="97"/>
      <x:c r="AC223" s="97"/>
      <x:c r="AD223" s="97"/>
    </x:row>
    <x:row r="224" s="8" customFormat="1">
      <x:c r="O224" s="97"/>
      <x:c r="P224" s="97"/>
      <x:c r="Q224" s="97"/>
      <x:c r="R224" s="97"/>
      <x:c r="S224" s="97"/>
      <x:c r="T224" s="97"/>
      <x:c r="U224" s="97"/>
      <x:c r="V224" s="97"/>
      <x:c r="W224" s="97"/>
      <x:c r="X224" s="97"/>
      <x:c r="Y224" s="97"/>
      <x:c r="Z224" s="97"/>
      <x:c r="AA224" s="97"/>
      <x:c r="AB224" s="97"/>
      <x:c r="AC224" s="97"/>
      <x:c r="AD224" s="97"/>
    </x:row>
    <x:row r="225" s="8" customFormat="1">
      <x:c r="O225" s="97"/>
      <x:c r="P225" s="97"/>
      <x:c r="Q225" s="97"/>
      <x:c r="R225" s="97"/>
      <x:c r="S225" s="97"/>
      <x:c r="T225" s="97"/>
      <x:c r="U225" s="97"/>
      <x:c r="V225" s="97"/>
      <x:c r="W225" s="97"/>
      <x:c r="X225" s="97"/>
      <x:c r="Y225" s="97"/>
      <x:c r="Z225" s="97"/>
      <x:c r="AA225" s="97"/>
      <x:c r="AB225" s="97"/>
      <x:c r="AC225" s="97"/>
      <x:c r="AD225" s="97"/>
    </x:row>
    <x:row r="226" s="8" customFormat="1">
      <x:c r="O226" s="97"/>
      <x:c r="P226" s="97"/>
      <x:c r="Q226" s="97"/>
      <x:c r="R226" s="97"/>
      <x:c r="S226" s="97"/>
      <x:c r="T226" s="97"/>
      <x:c r="U226" s="97"/>
      <x:c r="V226" s="97"/>
      <x:c r="W226" s="97"/>
      <x:c r="X226" s="97"/>
      <x:c r="Y226" s="97"/>
      <x:c r="Z226" s="97"/>
      <x:c r="AA226" s="97"/>
      <x:c r="AB226" s="97"/>
      <x:c r="AC226" s="97"/>
      <x:c r="AD226" s="97"/>
    </x:row>
    <x:row r="227" s="8" customFormat="1">
      <x:c r="O227" s="97"/>
      <x:c r="P227" s="97"/>
      <x:c r="Q227" s="97"/>
      <x:c r="R227" s="97"/>
      <x:c r="S227" s="97"/>
      <x:c r="T227" s="97"/>
      <x:c r="U227" s="97"/>
      <x:c r="V227" s="97"/>
      <x:c r="W227" s="97"/>
      <x:c r="X227" s="97"/>
      <x:c r="Y227" s="97"/>
      <x:c r="Z227" s="97"/>
      <x:c r="AA227" s="97"/>
      <x:c r="AB227" s="97"/>
      <x:c r="AC227" s="97"/>
      <x:c r="AD227" s="97"/>
    </x:row>
    <x:row r="228" s="8" customFormat="1">
      <x:c r="O228" s="97"/>
      <x:c r="P228" s="97"/>
      <x:c r="Q228" s="97"/>
      <x:c r="R228" s="97"/>
      <x:c r="S228" s="97"/>
      <x:c r="T228" s="97"/>
      <x:c r="U228" s="97"/>
      <x:c r="V228" s="97"/>
      <x:c r="W228" s="97"/>
      <x:c r="X228" s="97"/>
      <x:c r="Y228" s="97"/>
      <x:c r="Z228" s="97"/>
      <x:c r="AA228" s="97"/>
      <x:c r="AB228" s="97"/>
      <x:c r="AC228" s="97"/>
      <x:c r="AD228" s="97"/>
    </x:row>
    <x:row r="229" s="8" customFormat="1">
      <x:c r="O229" s="97"/>
      <x:c r="P229" s="97"/>
      <x:c r="Q229" s="97"/>
      <x:c r="R229" s="97"/>
      <x:c r="S229" s="97"/>
      <x:c r="T229" s="97"/>
      <x:c r="U229" s="97"/>
      <x:c r="V229" s="97"/>
      <x:c r="W229" s="97"/>
      <x:c r="X229" s="97"/>
      <x:c r="Y229" s="97"/>
      <x:c r="Z229" s="97"/>
      <x:c r="AA229" s="97"/>
      <x:c r="AB229" s="97"/>
      <x:c r="AC229" s="97"/>
      <x:c r="AD229" s="97"/>
    </x:row>
    <x:row r="230" s="8" customFormat="1">
      <x:c r="O230" s="97"/>
      <x:c r="P230" s="97"/>
      <x:c r="Q230" s="97"/>
      <x:c r="R230" s="97"/>
      <x:c r="S230" s="97"/>
      <x:c r="T230" s="97"/>
      <x:c r="U230" s="97"/>
      <x:c r="V230" s="97"/>
      <x:c r="W230" s="97"/>
      <x:c r="X230" s="97"/>
      <x:c r="Y230" s="97"/>
      <x:c r="Z230" s="97"/>
      <x:c r="AA230" s="97"/>
      <x:c r="AB230" s="97"/>
      <x:c r="AC230" s="97"/>
      <x:c r="AD230" s="97"/>
    </x:row>
    <x:row r="231" s="8" customFormat="1">
      <x:c r="O231" s="97"/>
      <x:c r="P231" s="97"/>
      <x:c r="Q231" s="97"/>
      <x:c r="R231" s="97"/>
      <x:c r="S231" s="97"/>
      <x:c r="T231" s="97"/>
      <x:c r="U231" s="97"/>
      <x:c r="V231" s="97"/>
      <x:c r="W231" s="97"/>
      <x:c r="X231" s="97"/>
      <x:c r="Y231" s="97"/>
      <x:c r="Z231" s="97"/>
      <x:c r="AA231" s="97"/>
      <x:c r="AB231" s="97"/>
      <x:c r="AC231" s="97"/>
      <x:c r="AD231" s="97"/>
    </x:row>
    <x:row r="232" s="8" customFormat="1">
      <x:c r="O232" s="97"/>
      <x:c r="P232" s="97"/>
      <x:c r="Q232" s="97"/>
      <x:c r="R232" s="97"/>
      <x:c r="S232" s="97"/>
      <x:c r="T232" s="97"/>
      <x:c r="U232" s="97"/>
      <x:c r="V232" s="97"/>
      <x:c r="W232" s="97"/>
      <x:c r="X232" s="97"/>
      <x:c r="Y232" s="97"/>
      <x:c r="Z232" s="97"/>
      <x:c r="AA232" s="97"/>
      <x:c r="AB232" s="97"/>
      <x:c r="AC232" s="97"/>
      <x:c r="AD232" s="97"/>
    </x:row>
    <x:row r="233" s="8" customFormat="1">
      <x:c r="O233" s="97"/>
      <x:c r="P233" s="97"/>
      <x:c r="Q233" s="97"/>
      <x:c r="R233" s="97"/>
      <x:c r="S233" s="97"/>
      <x:c r="T233" s="97"/>
      <x:c r="U233" s="97"/>
      <x:c r="V233" s="97"/>
      <x:c r="W233" s="97"/>
      <x:c r="X233" s="97"/>
      <x:c r="Y233" s="97"/>
      <x:c r="Z233" s="97"/>
      <x:c r="AA233" s="97"/>
      <x:c r="AB233" s="97"/>
      <x:c r="AC233" s="97"/>
      <x:c r="AD233" s="97"/>
    </x:row>
    <x:row r="234" s="8" customFormat="1">
      <x:c r="O234" s="97"/>
      <x:c r="P234" s="97"/>
      <x:c r="Q234" s="97"/>
      <x:c r="R234" s="97"/>
      <x:c r="S234" s="97"/>
      <x:c r="T234" s="97"/>
      <x:c r="U234" s="97"/>
      <x:c r="V234" s="97"/>
      <x:c r="W234" s="97"/>
      <x:c r="X234" s="97"/>
      <x:c r="Y234" s="97"/>
      <x:c r="Z234" s="97"/>
      <x:c r="AA234" s="97"/>
      <x:c r="AB234" s="97"/>
      <x:c r="AC234" s="97"/>
      <x:c r="AD234" s="97"/>
    </x:row>
    <x:row r="235" s="8" customFormat="1">
      <x:c r="O235" s="97"/>
      <x:c r="P235" s="97"/>
      <x:c r="Q235" s="97"/>
      <x:c r="R235" s="97"/>
      <x:c r="S235" s="97"/>
      <x:c r="T235" s="97"/>
      <x:c r="U235" s="97"/>
      <x:c r="V235" s="97"/>
      <x:c r="W235" s="97"/>
      <x:c r="X235" s="97"/>
      <x:c r="Y235" s="97"/>
      <x:c r="Z235" s="97"/>
      <x:c r="AA235" s="97"/>
      <x:c r="AB235" s="97"/>
      <x:c r="AC235" s="97"/>
      <x:c r="AD235" s="97"/>
    </x:row>
    <x:row r="236" s="8" customFormat="1">
      <x:c r="O236" s="97"/>
      <x:c r="P236" s="97"/>
      <x:c r="Q236" s="97"/>
      <x:c r="R236" s="97"/>
      <x:c r="S236" s="97"/>
      <x:c r="T236" s="97"/>
      <x:c r="U236" s="97"/>
      <x:c r="V236" s="97"/>
      <x:c r="W236" s="97"/>
      <x:c r="X236" s="97"/>
      <x:c r="Y236" s="97"/>
      <x:c r="Z236" s="97"/>
      <x:c r="AA236" s="97"/>
      <x:c r="AB236" s="97"/>
      <x:c r="AC236" s="97"/>
      <x:c r="AD236" s="97"/>
    </x:row>
    <x:row r="237" s="8" customFormat="1">
      <x:c r="O237" s="97"/>
      <x:c r="P237" s="97"/>
      <x:c r="Q237" s="97"/>
      <x:c r="R237" s="97"/>
      <x:c r="S237" s="97"/>
      <x:c r="T237" s="97"/>
      <x:c r="U237" s="97"/>
      <x:c r="V237" s="97"/>
      <x:c r="W237" s="97"/>
      <x:c r="X237" s="97"/>
      <x:c r="Y237" s="97"/>
      <x:c r="Z237" s="97"/>
      <x:c r="AA237" s="97"/>
      <x:c r="AB237" s="97"/>
      <x:c r="AC237" s="97"/>
      <x:c r="AD237" s="97"/>
    </x:row>
    <x:row r="238" s="8" customFormat="1">
      <x:c r="O238" s="97"/>
      <x:c r="P238" s="97"/>
      <x:c r="Q238" s="97"/>
      <x:c r="R238" s="97"/>
      <x:c r="S238" s="97"/>
      <x:c r="T238" s="97"/>
      <x:c r="U238" s="97"/>
      <x:c r="V238" s="97"/>
      <x:c r="W238" s="97"/>
      <x:c r="X238" s="97"/>
      <x:c r="Y238" s="97"/>
      <x:c r="Z238" s="97"/>
      <x:c r="AA238" s="97"/>
      <x:c r="AB238" s="97"/>
      <x:c r="AC238" s="97"/>
      <x:c r="AD238" s="97"/>
    </x:row>
  </x:sheetData>
  <x:mergeCells>
    <x:mergeCell ref="B1:K1"/>
    <x:mergeCell ref="U5:Z5"/>
    <x:mergeCell ref="B4:B6"/>
    <x:mergeCell ref="C4:D4"/>
    <x:mergeCell ref="E4:G4"/>
    <x:mergeCell ref="H4:K4"/>
    <x:mergeCell ref="F5:G5"/>
    <x:mergeCell ref="I5:K5"/>
    <x:mergeCell ref="B2:K2"/>
  </x:mergeCells>
  <x:conditionalFormatting sqref="C7:K19">
    <x:cfRule type="notContainsBlanks" dxfId="2" priority="4">
      <x:formula>LEN(TRIM(C7))&gt;0</x:formula>
    </x:cfRule>
  </x:conditionalFormatting>
  <x:conditionalFormatting sqref="R9:R16">
    <x:cfRule type="notContainsBlanks" dxfId="1" priority="3">
      <x:formula>LEN(TRIM(R9))&gt;0</x:formula>
    </x:cfRule>
  </x:conditionalFormatting>
  <x:conditionalFormatting sqref="X20:X23">
    <x:cfRule type="notContainsBlanks" dxfId="0" priority="1">
      <x:formula>LEN(TRIM(X20))&gt;0</x:formula>
    </x:cfRule>
  </x:conditionalFormatting>
  <x:dataValidations count="1">
    <x:dataValidation type="decimal" operator="greaterThan" allowBlank="1" showInputMessage="1" showErrorMessage="1" error="Células definidas como número decimal" sqref="X20:X23 R9:R16 X9:X16 C7:K19">
      <x:formula1>-1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7421875" defaultRowHeight="18"/>
  <x:cols>
    <x:col min="1" max="1" width="2.82421875" style="1" customWidth="1"/>
    <x:col min="2" max="5" width="17.484375" style="1" customWidth="1"/>
    <x:col min="6" max="6" width="3.49609375" style="1" customWidth="1"/>
    <x:col min="7" max="8" width="14.52734375" style="1" customWidth="1"/>
    <x:col min="9" max="16384" width="8.7421875" style="1" customWidth="0"/>
    <x:col min="2" max="2" width="23" hidden="0" customWidth="1"/>
    <x:col min="3" max="3" width="14" hidden="0" customWidth="1"/>
    <x:col min="4" max="4" width="17" hidden="0" customWidth="1"/>
    <x:col min="5" max="5" width="14" hidden="0" customWidth="1"/>
  </x:cols>
  <x:sheetData>
    <x:row r="1" ht="25.149999618530273" customHeight="1">
      <x:c r="B1" s="293" t="s">
        <x:v>4</x:v>
      </x:c>
      <x:c r="C1" s="293"/>
      <x:c r="D1" s="293"/>
      <x:c r="E1" s="293"/>
    </x:row>
    <x:row r="2" ht="24" customHeight="1">
      <x:c r="B2" s="292" t="str">
        <x:v>‹ MENU · ESCOLHE OUTRO SIMULADOR</x:v>
      </x:c>
      <x:c r="C2" s="292"/>
      <x:c r="D2" s="292"/>
      <x:c r="E2" s="292"/>
    </x:row>
    <x:row r="3" ht="18" customHeight="1">
      <x:c r="B3" s="51" t="s">
        <x:v>1</x:v>
      </x:c>
      <x:c r="C3" s="89" t="s">
        <x:v>7</x:v>
      </x:c>
      <x:c r="F3" s="3"/>
    </x:row>
    <x:row r="4" ht="18" customHeight="1">
      <x:c r="B4" s="51" t="str">
        <x:f>'Bi-Horaria'!B4</x:f>
        <x:v>Forma Pagamento</x:v>
      </x:c>
      <x:c r="C4" s="89" t="s">
        <x:v>20</x:v>
      </x:c>
      <x:c r="G4" s="3"/>
    </x:row>
    <x:row r="5" ht="18" customHeight="1">
      <x:c r="G5" s="3"/>
    </x:row>
    <x:row r="6" ht="18" customHeight="1">
      <x:c r="B6" s="2" t="s">
        <x:v>8</x:v>
      </x:c>
      <x:c r="C6" s="9">
        <x:v>6.9</x:v>
      </x:c>
      <x:c r="D6" s="1" t="s">
        <x:v>23</x:v>
      </x:c>
    </x:row>
    <x:row r="7" ht="18" hidden="1" customHeight="1">
      <x:c r="B7" s="2" t="s">
        <x:v>24</x:v>
      </x:c>
      <x:c r="C7" s="4" t="s">
        <x:v>4</x:v>
      </x:c>
    </x:row>
    <x:row r="8" ht="18" customHeight="1">
      <x:c r="B8" s="2" t="s">
        <x:v>25</x:v>
      </x:c>
      <x:c r="C8" s="50">
        <x:v>227</x:v>
      </x:c>
      <x:c r="D8" s="1" t="s">
        <x:v>26</x:v>
      </x:c>
    </x:row>
    <x:row r="9" ht="18" customHeight="1">
      <x:c r="B9" s="2" t="s">
        <x:v>27</x:v>
      </x:c>
      <x:c r="C9" s="50">
        <x:v>31</x:v>
      </x:c>
    </x:row>
    <x:row r="10" ht="18" customHeight="1">
      <x:c r="G10" s="122"/>
      <x:c r="H10" s="122"/>
    </x:row>
    <x:row r="11" ht="18" customHeight="1">
      <x:c r="C11" s="3" t="s">
        <x:v>28</x:v>
      </x:c>
      <x:c r="D11" s="3" t="s">
        <x:v>29</x:v>
      </x:c>
      <x:c r="E11" s="3" t="s">
        <x:v>30</x:v>
      </x:c>
    </x:row>
    <x:row r="12" ht="18" customHeight="1">
      <x:c r="B12" s="2" t="s">
        <x:v>31</x:v>
      </x:c>
      <x:c r="C12" s="10">
        <x:v>0.57799999999999996</x:v>
      </x:c>
      <x:c r="D12" s="48" t="n">
        <x:f>VLOOKUP($C$6,'Tarifa 2026'!B7:C16,2,FALSE)</x:f>
        <x:v>0.55</x:v>
      </x:c>
      <x:c r="E12" s="4" t="str">
        <x:f>IF(D12&lt;=C12,"sim","não")</x:f>
        <x:v>sim</x:v>
      </x:c>
    </x:row>
    <x:row r="13" ht="18" customHeight="1">
      <x:c r="B13" s="2" t="s">
        <x:v>32</x:v>
      </x:c>
      <x:c r="C13" s="10">
        <x:v>0.1671</x:v>
      </x:c>
      <x:c r="D13" s="48" t="n">
        <x:f>IF(C3="M5/M4",VLOOKUP($C$6,'Tarifa 2026'!B7:D16,3,FALSE)-0.02,IF(C3="M3/M2",VLOOKUP($C$6,'Tarifa 2026'!B7:D16,3,FALSE)-0.01,VLOOKUP($C$6,'Tarifa 2026'!B7:D16,3,FALSE)))+IF(C4="DDFE",0,IF(C4="DDFP",0.01,0.02))</x:f>
        <x:v>0.1499</x:v>
      </x:c>
      <x:c r="E13" s="4" t="str">
        <x:f t="shared" ref="E13" si="0">IF(D13&lt;=C13,"sim","não")</x:f>
        <x:v>sim</x:v>
      </x:c>
    </x:row>
    <x:row r="15" ht="18" customHeight="1">
      <x:c r="B15" s="7" t="s">
        <x:v>33</x:v>
      </x:c>
      <x:c r="C15" s="6" t="s">
        <x:v>28</x:v>
      </x:c>
      <x:c r="D15" s="6" t="s">
        <x:v>29</x:v>
      </x:c>
      <x:c r="E15" s="6" t="s">
        <x:v>34</x:v>
      </x:c>
    </x:row>
    <x:row r="16" ht="18" customHeight="1">
      <x:c r="B16" s="2" t="s">
        <x:v>31</x:v>
      </x:c>
      <x:c r="C16" s="49" t="n">
        <x:f>C12*C9</x:f>
        <x:v>17.918</x:v>
      </x:c>
      <x:c r="D16" s="49" t="n">
        <x:f>D12*C9</x:f>
        <x:v>17.05</x:v>
      </x:c>
      <x:c r="E16" s="49" t="n">
        <x:f>D16-C16</x:f>
        <x:v>-0.8679999999999986</x:v>
      </x:c>
    </x:row>
    <x:row r="17" ht="18" customHeight="1">
      <x:c r="B17" s="109" t="s">
        <x:v>9</x:v>
      </x:c>
      <x:c r="C17" s="110" t="n">
        <x:f>C8*C13</x:f>
        <x:v>37.9317</x:v>
      </x:c>
      <x:c r="D17" s="110" t="n">
        <x:f>C8*D13</x:f>
        <x:v>34.027300000000004</x:v>
      </x:c>
      <x:c r="E17" s="110" t="n">
        <x:f>D17-C17</x:f>
        <x:v>-3.9043999999999954</x:v>
      </x:c>
    </x:row>
    <x:row r="18" ht="18" customHeight="1">
      <x:c r="B18" s="51" t="s">
        <x:v>35</x:v>
      </x:c>
      <x:c r="C18" s="52" t="n">
        <x:f>SUM(C16:C17)</x:f>
        <x:v>55.8497</x:v>
      </x:c>
      <x:c r="D18" s="52" t="n">
        <x:f>SUM(D16:D17)</x:f>
        <x:v>51.07730000000001</x:v>
      </x:c>
      <x:c r="E18" s="52" t="n">
        <x:f>SUM(E16:E17)</x:f>
        <x:v>-4.772399999999994</x:v>
      </x:c>
    </x:row>
  </x:sheetData>
  <x:mergeCells>
    <x:mergeCell ref="G10:H10"/>
    <x:mergeCell ref="B1:E1"/>
    <x:mergeCell ref="B2:E2"/>
  </x:mergeCells>
  <x:dataValidations count="3">
    <x:dataValidation type="list" allowBlank="1" showInputMessage="1" showErrorMessage="1" sqref="C7">
      <x:formula1>Tarifa</x:formula1>
    </x:dataValidation>
    <x:dataValidation type="list" allowBlank="1" showInputMessage="1" showErrorMessage="1" sqref="C4">
      <x:formula1>ModoPagamento</x:formula1>
    </x:dataValidation>
    <x:dataValidation type="list" allowBlank="1" showInputMessage="1" showErrorMessage="1" sqref="C3">
      <x:formula1>MX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7421875" defaultRowHeight="18"/>
  <x:cols>
    <x:col min="1" max="1" width="2.5546875" style="1" customWidth="1"/>
    <x:col min="2" max="5" width="17.484375" style="1" customWidth="1"/>
    <x:col min="6" max="16384" width="8.7421875" style="1" customWidth="0"/>
    <x:col min="2" max="2" width="23" hidden="0" customWidth="1"/>
    <x:col min="3" max="3" width="14" hidden="0" customWidth="1"/>
    <x:col min="4" max="4" width="17" hidden="0" customWidth="1"/>
    <x:col min="5" max="5" width="14" hidden="0" customWidth="1"/>
  </x:cols>
  <x:sheetData>
    <x:row r="1" ht="25.149999618530273" customHeight="1">
      <x:c r="B1" s="293" t="s">
        <x:v>5</x:v>
      </x:c>
      <x:c r="C1" s="293"/>
      <x:c r="D1" s="293"/>
      <x:c r="E1" s="293"/>
    </x:row>
    <x:row r="2" ht="24" customHeight="1">
      <x:c r="B2" s="292" t="str">
        <x:v>‹ MENU · ESCOLHE OUTRO SIMULADOR</x:v>
      </x:c>
      <x:c r="C2" s="292"/>
      <x:c r="D2" s="292"/>
      <x:c r="E2" s="292"/>
    </x:row>
    <x:row r="3" ht="18" customHeight="1">
      <x:c r="B3" s="51" t="s">
        <x:v>1</x:v>
      </x:c>
      <x:c r="C3" s="89" t="s">
        <x:v>7</x:v>
      </x:c>
      <x:c r="F3" s="3"/>
    </x:row>
    <x:row r="4" ht="18" customHeight="1">
      <x:c r="B4" s="51" t="str">
        <x:f>'Tri-Horaria'!B4</x:f>
        <x:v>Forma Pagamento</x:v>
      </x:c>
      <x:c r="C4" s="89" t="s">
        <x:v>20</x:v>
      </x:c>
      <x:c r="G4" s="3"/>
    </x:row>
    <x:row r="6" ht="18" customHeight="1">
      <x:c r="B6" s="2" t="s">
        <x:v>8</x:v>
      </x:c>
      <x:c r="C6" s="9">
        <x:v>3.45</x:v>
      </x:c>
      <x:c r="D6" s="1" t="s">
        <x:v>23</x:v>
      </x:c>
    </x:row>
    <x:row r="7" ht="18" hidden="1" customHeight="1">
      <x:c r="B7" s="2" t="s">
        <x:v>24</x:v>
      </x:c>
      <x:c r="C7" s="4" t="s">
        <x:v>36</x:v>
      </x:c>
    </x:row>
    <x:row r="8" ht="18" customHeight="1">
      <x:c r="B8" s="2" t="s">
        <x:v>37</x:v>
      </x:c>
      <x:c r="C8" s="50">
        <x:v>92</x:v>
      </x:c>
      <x:c r="D8" s="1" t="s">
        <x:v>38</x:v>
      </x:c>
    </x:row>
    <x:row r="9" ht="18" customHeight="1">
      <x:c r="B9" s="2" t="s">
        <x:v>39</x:v>
      </x:c>
      <x:c r="C9" s="50">
        <x:v>55</x:v>
      </x:c>
      <x:c r="D9" s="1" t="s">
        <x:v>38</x:v>
      </x:c>
    </x:row>
    <x:row r="10" ht="18" customHeight="1">
      <x:c r="B10" s="2" t="s">
        <x:v>27</x:v>
      </x:c>
      <x:c r="C10" s="50">
        <x:v>29</x:v>
      </x:c>
    </x:row>
    <x:row r="12" ht="18" customHeight="1">
      <x:c r="C12" s="3" t="s">
        <x:v>28</x:v>
      </x:c>
      <x:c r="D12" s="3" t="s">
        <x:v>29</x:v>
      </x:c>
      <x:c r="E12" s="3" t="s">
        <x:v>30</x:v>
      </x:c>
    </x:row>
    <x:row r="13" ht="18" customHeight="1">
      <x:c r="B13" s="2" t="s">
        <x:v>31</x:v>
      </x:c>
      <x:c r="C13" s="10">
        <x:v>0.2235</x:v>
      </x:c>
      <x:c r="D13" s="48" t="n">
        <x:f>IF(C7="simples",VLOOKUP($C$6,'Tarifa 2026'!$B$7:$D$16,2,FALSE),VLOOKUP($C$6,'Tarifa 2026'!$B$7:$G$16,4,FALSE))</x:f>
        <x:v>0.27</x:v>
      </x:c>
      <x:c r="E13" s="4" t="str">
        <x:f>IF(D13&lt;=C13,"sim","não")</x:f>
        <x:v>não</x:v>
      </x:c>
    </x:row>
    <x:row r="14" ht="18" customHeight="1">
      <x:c r="B14" s="2" t="s">
        <x:v>40</x:v>
      </x:c>
      <x:c r="C14" s="10">
        <x:v>0.22639999999999999</x:v>
      </x:c>
      <x:c r="D14" s="48" t="n">
        <x:f>IF(C3="M5/M4",'Tarifa 2026'!F9+'Tarifa 2026'!T4,IF(C3="M3/M2",'Tarifa 2026'!F9+'Tarifa 2026'!T5,'Tarifa 2026'!F9))+IF(C4="DDFE",'Tarifa 2026'!T9,IF(C4="DDFP",'Tarifa 2026'!T10,'Tarifa 2026'!T11))</x:f>
        <x:v>0.1799</x:v>
      </x:c>
      <x:c r="E14" s="4" t="str">
        <x:f t="shared" ref="E14" si="0">IF(D14&lt;=C14,"sim","não")</x:f>
        <x:v>sim</x:v>
      </x:c>
    </x:row>
    <x:row r="15" ht="18" customHeight="1">
      <x:c r="B15" s="2" t="s">
        <x:v>41</x:v>
      </x:c>
      <x:c r="C15" s="10">
        <x:v>0.1421</x:v>
      </x:c>
      <x:c r="D15" s="48" t="n">
        <x:f>D14-0.08</x:f>
        <x:v>0.0999</x:v>
      </x:c>
      <x:c r="E15" s="4" t="str">
        <x:f>IF(C7="simples","n.a.",IF(D15&lt;=C15,"sim","não"))</x:f>
        <x:v>sim</x:v>
      </x:c>
    </x:row>
    <x:row r="17" ht="18" customHeight="1">
      <x:c r="B17" s="7" t="s">
        <x:v>33</x:v>
      </x:c>
      <x:c r="C17" s="6" t="s">
        <x:v>28</x:v>
      </x:c>
      <x:c r="D17" s="6" t="s">
        <x:v>29</x:v>
      </x:c>
      <x:c r="E17" s="6" t="s">
        <x:v>34</x:v>
      </x:c>
    </x:row>
    <x:row r="18" ht="18" customHeight="1">
      <x:c r="B18" s="2" t="s">
        <x:v>31</x:v>
      </x:c>
      <x:c r="C18" s="49" t="n">
        <x:f>C13*C10</x:f>
        <x:v>6.4815000000000005</x:v>
      </x:c>
      <x:c r="D18" s="49" t="n">
        <x:f>D13*C10</x:f>
        <x:v>7.83</x:v>
      </x:c>
      <x:c r="E18" s="49" t="n">
        <x:f>D18-C18</x:f>
        <x:v>1.3484999999999996</x:v>
      </x:c>
    </x:row>
    <x:row r="19" ht="18" customHeight="1">
      <x:c r="B19" s="107" t="s">
        <x:v>40</x:v>
      </x:c>
      <x:c r="C19" s="108" t="n">
        <x:f>C8*C14</x:f>
        <x:v>20.828799999999998</x:v>
      </x:c>
      <x:c r="D19" s="108" t="n">
        <x:f>C8*D14</x:f>
        <x:v>16.5508</x:v>
      </x:c>
      <x:c r="E19" s="108" t="n">
        <x:f>D19-C19</x:f>
        <x:v>-4.277999999999999</x:v>
      </x:c>
    </x:row>
    <x:row r="20" ht="18" customHeight="1">
      <x:c r="B20" s="109" t="s">
        <x:v>41</x:v>
      </x:c>
      <x:c r="C20" s="110" t="n">
        <x:f>C9*C15</x:f>
        <x:v>7.8155</x:v>
      </x:c>
      <x:c r="D20" s="110" t="n">
        <x:f>IF(C9=0,"n.a.",C9*D15)</x:f>
        <x:v>5.4945</x:v>
      </x:c>
      <x:c r="E20" s="110" t="n">
        <x:f>D20-C20</x:f>
        <x:v>-2.3209999999999997</x:v>
      </x:c>
    </x:row>
    <x:row r="21" ht="18" customHeight="1">
      <x:c r="B21" s="51" t="s">
        <x:v>35</x:v>
      </x:c>
      <x:c r="C21" s="52" t="n">
        <x:f>SUM(C18:C20)</x:f>
        <x:v>35.1258</x:v>
      </x:c>
      <x:c r="D21" s="52" t="n">
        <x:f>SUM(D18:D20)</x:f>
        <x:v>29.875300000000003</x:v>
      </x:c>
      <x:c r="E21" s="52" t="n">
        <x:f>SUM(E18:E20)</x:f>
        <x:v>-5.250499999999999</x:v>
      </x:c>
    </x:row>
  </x:sheetData>
  <x:mergeCells>
    <x:mergeCell ref="B1:E1"/>
    <x:mergeCell ref="B2:E2"/>
  </x:mergeCells>
  <x:dataValidations count="4">
    <x:dataValidation type="list" allowBlank="1" showInputMessage="1" showErrorMessage="1" sqref="C6">
      <x:formula1>bi</x:formula1>
    </x:dataValidation>
    <x:dataValidation type="list" allowBlank="1" showInputMessage="1" showErrorMessage="1" sqref="C7">
      <x:formula1>Tarifa</x:formula1>
    </x:dataValidation>
    <x:dataValidation type="list" allowBlank="1" showInputMessage="1" showErrorMessage="1" sqref="C4">
      <x:formula1>ModoPagamento</x:formula1>
    </x:dataValidation>
    <x:dataValidation type="list" allowBlank="1" showInputMessage="1" showErrorMessage="1" sqref="C3">
      <x:formula1>MX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7421875" defaultRowHeight="18"/>
  <x:cols>
    <x:col min="1" max="1" width="2.5546875" style="1" customWidth="1"/>
    <x:col min="2" max="5" width="17.484375" style="1" customWidth="1"/>
    <x:col min="6" max="16384" width="8.7421875" style="1" customWidth="0"/>
    <x:col min="2" max="2" width="23" hidden="0" customWidth="1"/>
    <x:col min="3" max="3" width="14" hidden="0" customWidth="1"/>
    <x:col min="4" max="4" width="17" hidden="0" customWidth="1"/>
    <x:col min="5" max="5" width="14" hidden="0" customWidth="1"/>
  </x:cols>
  <x:sheetData>
    <x:row r="1" ht="25.149999618530273" customHeight="1">
      <x:c r="B1" s="293" t="s">
        <x:v>6</x:v>
      </x:c>
      <x:c r="C1" s="293"/>
      <x:c r="D1" s="293"/>
      <x:c r="E1" s="293"/>
    </x:row>
    <x:row r="2" ht="24" customHeight="1">
      <x:c r="B2" s="292" t="str">
        <x:v>‹ MENU · ESCOLHE OUTRO SIMULADOR</x:v>
      </x:c>
      <x:c r="C2" s="292"/>
      <x:c r="D2" s="292"/>
      <x:c r="E2" s="292"/>
    </x:row>
    <x:row r="3" ht="18" customHeight="1">
      <x:c r="B3" s="51" t="s">
        <x:v>1</x:v>
      </x:c>
      <x:c r="C3" s="89" t="s">
        <x:v>7</x:v>
      </x:c>
      <x:c r="F3" s="3"/>
    </x:row>
    <x:row r="4" ht="18" customHeight="1">
      <x:c r="B4" s="51" t="s">
        <x:v>42</x:v>
      </x:c>
      <x:c r="C4" s="89" t="s">
        <x:v>20</x:v>
      </x:c>
      <x:c r="G4" s="3"/>
    </x:row>
    <x:row r="6" ht="18" customHeight="1">
      <x:c r="B6" s="2" t="s">
        <x:v>8</x:v>
      </x:c>
      <x:c r="C6" s="9">
        <x:v>41.4</x:v>
      </x:c>
      <x:c r="D6" s="1" t="s">
        <x:v>23</x:v>
      </x:c>
    </x:row>
    <x:row r="7" ht="18" customHeight="1">
      <x:c r="B7" s="2" t="s">
        <x:v>43</x:v>
      </x:c>
      <x:c r="C7" s="50">
        <x:v>824</x:v>
      </x:c>
      <x:c r="D7" s="1" t="s">
        <x:v>38</x:v>
      </x:c>
    </x:row>
    <x:row r="8" ht="18" customHeight="1">
      <x:c r="B8" s="2" t="s">
        <x:v>44</x:v>
      </x:c>
      <x:c r="C8" s="50">
        <x:v>2651</x:v>
      </x:c>
      <x:c r="D8" s="1" t="s">
        <x:v>38</x:v>
      </x:c>
    </x:row>
    <x:row r="9" ht="18" customHeight="1">
      <x:c r="B9" s="2" t="s">
        <x:v>39</x:v>
      </x:c>
      <x:c r="C9" s="50">
        <x:v>619</x:v>
      </x:c>
      <x:c r="D9" s="1" t="s">
        <x:v>38</x:v>
      </x:c>
    </x:row>
    <x:row r="10" ht="18" customHeight="1">
      <x:c r="B10" s="2" t="s">
        <x:v>27</x:v>
      </x:c>
      <x:c r="C10" s="50">
        <x:v>30</x:v>
      </x:c>
    </x:row>
    <x:row r="12" ht="18" customHeight="1">
      <x:c r="C12" s="3" t="s">
        <x:v>28</x:v>
      </x:c>
      <x:c r="D12" s="3" t="s">
        <x:v>29</x:v>
      </x:c>
      <x:c r="E12" s="3" t="s">
        <x:v>30</x:v>
      </x:c>
    </x:row>
    <x:row r="13" ht="18" customHeight="1">
      <x:c r="B13" s="2" t="s">
        <x:v>31</x:v>
      </x:c>
      <x:c r="C13" s="10">
        <x:v>1.8299000000000001</x:v>
      </x:c>
      <x:c r="D13" s="48" t="n">
        <x:f>VLOOKUP($C$6,'Tarifa 2026'!$B$17:$K$19,7,FALSE)</x:f>
        <x:v>2.5</x:v>
      </x:c>
      <x:c r="E13" s="4" t="str">
        <x:f>IF(D13&lt;=C13,"sim","não")</x:f>
        <x:v>não</x:v>
      </x:c>
    </x:row>
    <x:row r="14" ht="18" customHeight="1">
      <x:c r="B14" s="2" t="s">
        <x:v>45</x:v>
      </x:c>
      <x:c r="C14" s="10" t="n">
        <x:f>0.120873+0.2468</x:f>
        <x:v>0.36767299999999997</x:v>
      </x:c>
      <x:c r="D14" s="48" t="n">
        <x:f>IF(C3="M5/M4",'Tarifa 2026'!I17+'Tarifa 2026'!T4,IF(C3="M3/M2",'Tarifa 2026'!I17+'Tarifa 2026'!T5,'Tarifa 2026'!I17))+IF(C4="DDFE",'Tarifa 2026'!T9,IF(C4="DDFP",'Tarifa 2026'!T10,'Tarifa 2026'!T11))</x:f>
        <x:v>0.32989999999999997</x:v>
      </x:c>
      <x:c r="E14" s="4" t="str">
        <x:f t="shared" ref="E14:E16" si="0">IF(D14&lt;=C14,"sim","não")</x:f>
        <x:v>sim</x:v>
      </x:c>
    </x:row>
    <x:row r="15" ht="18" customHeight="1">
      <x:c r="B15" s="2" t="s">
        <x:v>46</x:v>
      </x:c>
      <x:c r="C15" s="10" t="n">
        <x:f>0.104543+0.0508</x:f>
        <x:v>0.155343</x:v>
      </x:c>
      <x:c r="D15" s="48" t="n">
        <x:f>D14-0.18</x:f>
        <x:v>0.14989999999999998</x:v>
      </x:c>
      <x:c r="E15" s="4" t="str">
        <x:f t="shared" si="0"/>
        <x:v>sim</x:v>
      </x:c>
    </x:row>
    <x:row r="16" ht="18" customHeight="1">
      <x:c r="B16" s="2" t="s">
        <x:v>47</x:v>
      </x:c>
      <x:c r="C16" s="10" t="n">
        <x:f>0.113902+0.0141</x:f>
        <x:v>0.128002</x:v>
      </x:c>
      <x:c r="D16" s="48" t="n">
        <x:f>D15-0.05</x:f>
        <x:v>0.09989999999999997</x:v>
      </x:c>
      <x:c r="E16" s="4" t="str">
        <x:f t="shared" si="0"/>
        <x:v>sim</x:v>
      </x:c>
    </x:row>
    <x:row r="18" ht="18" customHeight="1">
      <x:c r="B18" s="7" t="s">
        <x:v>33</x:v>
      </x:c>
      <x:c r="C18" s="6" t="s">
        <x:v>28</x:v>
      </x:c>
      <x:c r="D18" s="6" t="s">
        <x:v>29</x:v>
      </x:c>
      <x:c r="E18" s="6" t="s">
        <x:v>34</x:v>
      </x:c>
    </x:row>
    <x:row r="19" ht="18" customHeight="1">
      <x:c r="B19" s="2" t="s">
        <x:v>31</x:v>
      </x:c>
      <x:c r="C19" s="49" t="n">
        <x:f>C13*C10</x:f>
        <x:v>54.897000000000006</x:v>
      </x:c>
      <x:c r="D19" s="49" t="n">
        <x:f>D13*C10</x:f>
        <x:v>75</x:v>
      </x:c>
      <x:c r="E19" s="49" t="n">
        <x:f>D19-C19</x:f>
        <x:v>20.102999999999994</x:v>
      </x:c>
    </x:row>
    <x:row r="20" ht="18" customHeight="1">
      <x:c r="B20" s="55" t="s">
        <x:v>45</x:v>
      </x:c>
      <x:c r="C20" s="56" t="n">
        <x:f>C7*C14</x:f>
        <x:v>302.96255199999996</x:v>
      </x:c>
      <x:c r="D20" s="56" t="n">
        <x:f>C7*D14</x:f>
        <x:v>271.83759999999995</x:v>
      </x:c>
      <x:c r="E20" s="56" t="n">
        <x:f>D20-C20</x:f>
        <x:v>-31.124952000000008</x:v>
      </x:c>
    </x:row>
    <x:row r="21" ht="18" customHeight="1">
      <x:c r="B21" s="57" t="s">
        <x:v>48</x:v>
      </x:c>
      <x:c r="C21" s="56" t="n">
        <x:f>C8*C15</x:f>
        <x:v>411.814293</x:v>
      </x:c>
      <x:c r="D21" s="56" t="n">
        <x:f>C8*D15</x:f>
        <x:v>397.38489999999996</x:v>
      </x:c>
      <x:c r="E21" s="56" t="n">
        <x:f>D21-C21</x:f>
        <x:v>-14.429393000000061</x:v>
      </x:c>
    </x:row>
    <x:row r="22" ht="18" customHeight="1">
      <x:c r="B22" s="5" t="s">
        <x:v>41</x:v>
      </x:c>
      <x:c r="C22" s="53" t="n">
        <x:f>C9*C16</x:f>
        <x:v>79.233238</x:v>
      </x:c>
      <x:c r="D22" s="53" t="n">
        <x:f>IF(C9=0,"n.a.",C9*D16)</x:f>
        <x:v>61.83809999999998</x:v>
      </x:c>
      <x:c r="E22" s="53" t="n">
        <x:f>D22-C22</x:f>
        <x:v>-17.395138000000017</x:v>
      </x:c>
    </x:row>
    <x:row r="23" ht="18" customHeight="1">
      <x:c r="B23" s="51" t="s">
        <x:v>35</x:v>
      </x:c>
      <x:c r="C23" s="52" t="n">
        <x:f>SUM(C19:C22)</x:f>
        <x:v>848.9070830000001</x:v>
      </x:c>
      <x:c r="D23" s="52" t="n">
        <x:f>SUM(D19:D22)</x:f>
        <x:v>806.0605999999998</x:v>
      </x:c>
      <x:c r="E23" s="52" t="n">
        <x:f>SUM(E19:E22)</x:f>
        <x:v>-42.84648300000009</x:v>
      </x:c>
    </x:row>
  </x:sheetData>
  <x:mergeCells>
    <x:mergeCell ref="B1:E1"/>
    <x:mergeCell ref="B2:E2"/>
  </x:mergeCells>
  <x:dataValidations count="3">
    <x:dataValidation type="list" allowBlank="1" showInputMessage="1" showErrorMessage="1" sqref="C6">
      <x:formula1>tri</x:formula1>
    </x:dataValidation>
    <x:dataValidation type="list" allowBlank="1" showInputMessage="1" showErrorMessage="1" sqref="C4">
      <x:formula1>ModoPagamento</x:formula1>
    </x:dataValidation>
    <x:dataValidation type="list" allowBlank="1" showInputMessage="1" showErrorMessage="1" sqref="C3">
      <x:formula1>MX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7421875" defaultRowHeight="18"/>
  <x:cols>
    <x:col min="1" max="1" width="2.5546875" style="1" customWidth="1"/>
    <x:col min="2" max="2" width="25" style="1" hidden="0" customWidth="1"/>
    <x:col min="3" max="5" width="17.484375" style="1" customWidth="1"/>
    <x:col min="6" max="16384" width="8.7421875" style="1" customWidth="0"/>
    <x:col min="3" max="3" width="16" hidden="0" customWidth="1"/>
    <x:col min="4" max="4" width="18" hidden="0" customWidth="1"/>
    <x:col min="5" max="5" width="14" hidden="0" customWidth="1"/>
    <x:col min="6" max="6" width="8" hidden="0" customWidth="1"/>
  </x:cols>
  <x:sheetData>
    <x:row r="1" ht="25.149999618530273" customHeight="1">
      <x:c r="B1" s="135" t="s">
        <x:v>49</x:v>
      </x:c>
      <x:c r="C1" s="135"/>
      <x:c r="D1" s="135"/>
      <x:c r="E1" s="135"/>
    </x:row>
    <x:row r="2" ht="24" customHeight="1">
      <x:c r="B2" s="292" t="str">
        <x:v>‹ MENU · ESCOLHE OUTRO SIMULADOR</x:v>
      </x:c>
      <x:c r="C2" s="292"/>
      <x:c r="E2" s="94">
        <x:v>46387</x:v>
      </x:c>
    </x:row>
    <x:row r="3" ht="18" customHeight="1">
      <x:c r="B3" s="136" t="s">
        <x:v>50</x:v>
      </x:c>
      <x:c r="C3" s="137"/>
      <x:c r="D3" s="113" t="n">
        <x:f ca="1">IF(TODAY()+30&lt;E2,TODAY()+"30",E2)</x:f>
        <x:v>46298</x:v>
      </x:c>
      <x:c r="E3" s="96"/>
    </x:row>
    <x:row r="4" ht="18" customHeight="1">
      <x:c r="B4" s="138" t="s">
        <x:v>51</x:v>
      </x:c>
      <x:c r="C4" s="139"/>
      <x:c r="D4" s="139"/>
      <x:c r="E4" s="140"/>
    </x:row>
    <x:row r="5" ht="18" customHeight="1">
      <x:c r="B5" s="138"/>
      <x:c r="C5" s="139"/>
      <x:c r="D5" s="139"/>
      <x:c r="E5" s="140"/>
    </x:row>
    <x:row r="6" ht="18" customHeight="1">
      <x:c r="B6" s="141" t="s">
        <x:v>52</x:v>
      </x:c>
      <x:c r="C6" s="142"/>
      <x:c r="D6" s="142"/>
      <x:c r="E6" s="143"/>
    </x:row>
    <x:row r="7" ht="18" customHeight="1">
      <x:c r="B7" s="144" t="s">
        <x:v>53</x:v>
      </x:c>
      <x:c r="C7" s="145"/>
      <x:c r="D7" s="145"/>
      <x:c r="E7" s="146"/>
    </x:row>
    <x:row r="8" ht="18" customHeight="1">
      <x:c r="B8" s="93"/>
      <x:c r="C8" s="93"/>
      <x:c r="D8" s="93"/>
      <x:c r="E8" s="93"/>
    </x:row>
    <x:row r="9" ht="30" customHeight="1">
      <x:c r="B9" s="95" t="s">
        <x:v>54</x:v>
      </x:c>
      <x:c r="C9" s="3" t="s">
        <x:v>55</x:v>
      </x:c>
      <x:c r="F9" s="3"/>
    </x:row>
    <x:row r="11" ht="18" customHeight="1">
      <x:c r="C11" s="3" t="s">
        <x:v>56</x:v>
      </x:c>
      <x:c r="D11" s="3" t="s">
        <x:v>57</x:v>
      </x:c>
    </x:row>
    <x:row r="12" ht="18" customHeight="1">
      <x:c r="B12" s="2" t="s">
        <x:v>16</x:v>
      </x:c>
      <x:c r="C12" s="50">
        <x:v>646</x:v>
      </x:c>
      <x:c r="D12" s="117">
        <x:v>0</x:v>
      </x:c>
      <x:c r="E12" s="1" t="s">
        <x:v>38</x:v>
      </x:c>
    </x:row>
    <x:row r="13" ht="18" customHeight="1">
      <x:c r="B13" s="2" t="s">
        <x:v>58</x:v>
      </x:c>
      <x:c r="C13" s="50">
        <x:v>1582</x:v>
      </x:c>
      <x:c r="D13" s="117">
        <x:v>0</x:v>
      </x:c>
      <x:c r="E13" s="1" t="s">
        <x:v>38</x:v>
      </x:c>
    </x:row>
    <x:row r="14" ht="18" customHeight="1">
      <x:c r="B14" s="2" t="s">
        <x:v>15</x:v>
      </x:c>
      <x:c r="C14" s="50">
        <x:v>1058</x:v>
      </x:c>
      <x:c r="D14" s="117">
        <x:v>0</x:v>
      </x:c>
      <x:c r="E14" s="1" t="s">
        <x:v>38</x:v>
      </x:c>
    </x:row>
    <x:row r="15" ht="18" customHeight="1">
      <x:c r="B15" s="2" t="s">
        <x:v>59</x:v>
      </x:c>
      <x:c r="C15" s="50">
        <x:v>469</x:v>
      </x:c>
      <x:c r="D15" s="117">
        <x:v>0</x:v>
      </x:c>
      <x:c r="E15" s="1" t="s">
        <x:v>38</x:v>
      </x:c>
    </x:row>
    <x:row r="17" ht="18" customHeight="1">
      <x:c r="C17" s="3" t="s">
        <x:v>60</x:v>
      </x:c>
      <x:c r="D17" s="3" t="s">
        <x:v>29</x:v>
      </x:c>
      <x:c r="E17" s="3"/>
    </x:row>
    <x:row r="18" ht="18" customHeight="1">
      <x:c r="B18" s="2" t="s">
        <x:v>16</x:v>
      </x:c>
      <x:c r="C18" s="10" t="n">
        <x:f>0.143836</x:f>
        <x:v>0.143836</x:v>
      </x:c>
      <x:c r="D18" s="48">
        <x:v>0.12</x:v>
      </x:c>
      <x:c r="E18" s="4"/>
    </x:row>
    <x:row r="19" ht="18" customHeight="1">
      <x:c r="B19" s="2" t="s">
        <x:v>58</x:v>
      </x:c>
      <x:c r="C19" s="10" t="n">
        <x:f>C18</x:f>
        <x:v>0.143836</x:v>
      </x:c>
      <x:c r="D19" s="48">
        <x:v>0.12</x:v>
      </x:c>
      <x:c r="E19" s="4"/>
    </x:row>
    <x:row r="20" ht="18" customHeight="1">
      <x:c r="B20" s="2" t="s">
        <x:v>15</x:v>
      </x:c>
      <x:c r="C20" s="10" t="n">
        <x:f>C19</x:f>
        <x:v>0.143836</x:v>
      </x:c>
      <x:c r="D20" s="48">
        <x:v>0.12</x:v>
      </x:c>
      <x:c r="E20" s="4"/>
    </x:row>
    <x:row r="21" ht="18" customHeight="1">
      <x:c r="B21" s="2" t="s">
        <x:v>59</x:v>
      </x:c>
      <x:c r="C21" s="10" t="n">
        <x:f>C20</x:f>
        <x:v>0.143836</x:v>
      </x:c>
      <x:c r="D21" s="48">
        <x:v>0.12</x:v>
      </x:c>
      <x:c r="E21" s="4"/>
    </x:row>
    <x:row r="23" ht="18" customHeight="1">
      <x:c r="B23" s="7" t="s">
        <x:v>33</x:v>
      </x:c>
      <x:c r="C23" s="6" t="str">
        <x:f>C17</x:f>
        <x:v>Valor Atual</x:v>
      </x:c>
      <x:c r="D23" s="6" t="s">
        <x:v>29</x:v>
      </x:c>
      <x:c r="E23" s="6" t="s">
        <x:v>34</x:v>
      </x:c>
    </x:row>
    <x:row r="24" ht="18" customHeight="1">
      <x:c r="B24" s="2" t="s">
        <x:v>16</x:v>
      </x:c>
      <x:c r="C24" s="49" t="n">
        <x:f>C18*(C12+D12)</x:f>
        <x:v>92.91805599999999</x:v>
      </x:c>
      <x:c r="D24" s="49" t="n">
        <x:f>D18*C12</x:f>
        <x:v>77.52</x:v>
      </x:c>
      <x:c r="E24" s="49" t="n">
        <x:f>D24-C24</x:f>
        <x:v>-15.398055999999997</x:v>
      </x:c>
    </x:row>
    <x:row r="25" ht="18" customHeight="1">
      <x:c r="B25" s="55" t="s">
        <x:v>58</x:v>
      </x:c>
      <x:c r="C25" s="56" t="n">
        <x:f t="shared" ref="C25:C27" si="0">C19*(C13+D13)</x:f>
        <x:v>227.548552</x:v>
      </x:c>
      <x:c r="D25" s="56" t="n">
        <x:f>C13*D19</x:f>
        <x:v>189.84</x:v>
      </x:c>
      <x:c r="E25" s="56" t="n">
        <x:f>D25-C25</x:f>
        <x:v>-37.708552</x:v>
      </x:c>
    </x:row>
    <x:row r="26" ht="18" customHeight="1">
      <x:c r="B26" s="57" t="s">
        <x:v>15</x:v>
      </x:c>
      <x:c r="C26" s="56">
        <x:f t="shared" si="0"/>
        <x:v>152.17848799999999</x:v>
      </x:c>
      <x:c r="D26" s="56" t="n">
        <x:f>C14*D20</x:f>
        <x:v>126.96</x:v>
      </x:c>
      <x:c r="E26" s="56" t="n">
        <x:f>D26-C26</x:f>
        <x:v>-25.218487999999994</x:v>
      </x:c>
    </x:row>
    <x:row r="27" ht="18" customHeight="1">
      <x:c r="B27" s="55" t="s">
        <x:v>59</x:v>
      </x:c>
      <x:c r="C27" s="56">
        <x:f t="shared" si="0"/>
        <x:v>67.45908399999999</x:v>
      </x:c>
      <x:c r="D27" s="56" t="n">
        <x:f>IF(C15=0,"n.a.",C15*D21)</x:f>
        <x:v>56.28</x:v>
      </x:c>
      <x:c r="E27" s="56" t="n">
        <x:f>IF(D27="n.a.","n.a.",D27-C27)</x:f>
        <x:v>-11.179083999999989</x:v>
      </x:c>
    </x:row>
    <x:row r="28" ht="18" customHeight="1">
      <x:c r="B28" s="5" t="s">
        <x:v>61</x:v>
      </x:c>
      <x:c r="C28" s="112">
        <x:v>6.22</x:v>
      </x:c>
      <x:c r="D28" s="53">
        <x:v>0</x:v>
      </x:c>
      <x:c r="E28" s="53" t="n">
        <x:f>IF(D28="n.a.","n.a.",D28-C28)</x:f>
        <x:v>-6.22</x:v>
      </x:c>
    </x:row>
    <x:row r="29" ht="18" customHeight="1">
      <x:c r="B29" s="51" t="s">
        <x:v>35</x:v>
      </x:c>
      <x:c r="C29" s="52" t="n">
        <x:f>SUM(C24:C28)</x:f>
        <x:v>546.32418</x:v>
      </x:c>
      <x:c r="D29" s="52" t="n">
        <x:f>SUM(D24:D28)</x:f>
        <x:v>450.6</x:v>
      </x:c>
      <x:c r="E29" s="52" t="n">
        <x:f>SUM(E24:E28)</x:f>
        <x:v>-95.72417999999998</x:v>
      </x:c>
    </x:row>
  </x:sheetData>
  <x:mergeCells>
    <x:mergeCell ref="B1:E1"/>
    <x:mergeCell ref="B3:C3"/>
    <x:mergeCell ref="B4:E5"/>
    <x:mergeCell ref="B6:E6"/>
    <x:mergeCell ref="B7:E7"/>
    <x:mergeCell ref="B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7421875" defaultRowHeight="18"/>
  <x:cols>
    <x:col min="1" max="1" width="2.5546875" style="1" customWidth="1"/>
    <x:col min="2" max="2" width="25" style="1" hidden="0" customWidth="1"/>
    <x:col min="3" max="5" width="17.484375" style="1" customWidth="1"/>
    <x:col min="6" max="16384" width="8.7421875" style="1" customWidth="0"/>
    <x:col min="3" max="3" width="16" hidden="0" customWidth="1"/>
    <x:col min="4" max="4" width="18" hidden="0" customWidth="1"/>
    <x:col min="5" max="5" width="14" hidden="0" customWidth="1"/>
    <x:col min="6" max="6" width="8" hidden="0" customWidth="1"/>
  </x:cols>
  <x:sheetData>
    <x:row r="1" ht="25.149999618530273" customHeight="1">
      <x:c r="B1" s="135" t="s">
        <x:v>62</x:v>
      </x:c>
      <x:c r="C1" s="135"/>
      <x:c r="D1" s="135"/>
      <x:c r="E1" s="135"/>
    </x:row>
    <x:row r="2" ht="24" customHeight="1">
      <x:c r="B2" s="292" t="str">
        <x:v>‹ MENU · ESCOLHE OUTRO SIMULADOR</x:v>
      </x:c>
      <x:c r="C2" s="292"/>
      <x:c r="E2" s="94">
        <x:v>46387</x:v>
      </x:c>
    </x:row>
    <x:row r="3" ht="18" customHeight="1">
      <x:c r="B3" s="136" t="s">
        <x:v>50</x:v>
      </x:c>
      <x:c r="C3" s="137"/>
      <x:c r="D3" s="113" t="n">
        <x:f ca="1">IF(TODAY()+30&lt;E2,TODAY()+"30",E2)</x:f>
        <x:v>46298</x:v>
      </x:c>
      <x:c r="E3" s="96"/>
    </x:row>
    <x:row r="4" ht="18" customHeight="1">
      <x:c r="B4" s="138" t="s">
        <x:v>51</x:v>
      </x:c>
      <x:c r="C4" s="139"/>
      <x:c r="D4" s="139"/>
      <x:c r="E4" s="140"/>
    </x:row>
    <x:row r="5" ht="18" customHeight="1">
      <x:c r="B5" s="138"/>
      <x:c r="C5" s="139"/>
      <x:c r="D5" s="139"/>
      <x:c r="E5" s="140"/>
    </x:row>
    <x:row r="6" ht="18" customHeight="1">
      <x:c r="B6" s="141" t="s">
        <x:v>52</x:v>
      </x:c>
      <x:c r="C6" s="142"/>
      <x:c r="D6" s="142"/>
      <x:c r="E6" s="143"/>
    </x:row>
    <x:row r="7" ht="18" customHeight="1">
      <x:c r="B7" s="144" t="s">
        <x:v>53</x:v>
      </x:c>
      <x:c r="C7" s="145"/>
      <x:c r="D7" s="145"/>
      <x:c r="E7" s="146"/>
    </x:row>
    <x:row r="8" ht="18" customHeight="1">
      <x:c r="B8" s="93"/>
      <x:c r="C8" s="93"/>
      <x:c r="D8" s="93"/>
      <x:c r="E8" s="93"/>
    </x:row>
    <x:row r="9" ht="30" customHeight="1">
      <x:c r="B9" s="95" t="s">
        <x:v>54</x:v>
      </x:c>
      <x:c r="C9" s="3" t="s">
        <x:v>55</x:v>
      </x:c>
      <x:c r="F9" s="3"/>
    </x:row>
    <x:row r="11" ht="18" customHeight="1">
      <x:c r="C11" s="3" t="s">
        <x:v>56</x:v>
      </x:c>
      <x:c r="D11" s="3" t="s">
        <x:v>57</x:v>
      </x:c>
    </x:row>
    <x:row r="12" ht="18" customHeight="1">
      <x:c r="B12" s="2" t="s">
        <x:v>16</x:v>
      </x:c>
      <x:c r="C12" s="50">
        <x:v>1256</x:v>
      </x:c>
      <x:c r="D12" s="117">
        <x:v>0</x:v>
      </x:c>
      <x:c r="E12" s="1" t="s">
        <x:v>38</x:v>
      </x:c>
    </x:row>
    <x:row r="13" ht="18" customHeight="1">
      <x:c r="B13" s="2" t="s">
        <x:v>58</x:v>
      </x:c>
      <x:c r="C13" s="50">
        <x:v>6048</x:v>
      </x:c>
      <x:c r="D13" s="117">
        <x:v>0</x:v>
      </x:c>
      <x:c r="E13" s="1" t="s">
        <x:v>38</x:v>
      </x:c>
    </x:row>
    <x:row r="14" ht="18" customHeight="1">
      <x:c r="B14" s="2" t="s">
        <x:v>15</x:v>
      </x:c>
      <x:c r="C14" s="50">
        <x:v>3578</x:v>
      </x:c>
      <x:c r="D14" s="117">
        <x:v>0</x:v>
      </x:c>
      <x:c r="E14" s="1" t="s">
        <x:v>38</x:v>
      </x:c>
    </x:row>
    <x:row r="15" ht="18" customHeight="1">
      <x:c r="B15" s="2" t="s">
        <x:v>59</x:v>
      </x:c>
      <x:c r="C15" s="50">
        <x:v>1487</x:v>
      </x:c>
      <x:c r="D15" s="117">
        <x:v>0</x:v>
      </x:c>
      <x:c r="E15" s="1" t="s">
        <x:v>38</x:v>
      </x:c>
    </x:row>
    <x:row r="17" ht="18" customHeight="1">
      <x:c r="C17" s="3" t="s">
        <x:v>60</x:v>
      </x:c>
      <x:c r="D17" s="3" t="s">
        <x:v>29</x:v>
      </x:c>
      <x:c r="E17" s="3"/>
    </x:row>
    <x:row r="18" ht="18" customHeight="1">
      <x:c r="B18" s="2" t="s">
        <x:v>16</x:v>
      </x:c>
      <x:c r="C18" s="10">
        <x:v>0.11158</x:v>
      </x:c>
      <x:c r="D18" s="48">
        <x:v>0.11</x:v>
      </x:c>
      <x:c r="E18" s="4"/>
    </x:row>
    <x:row r="19" ht="18" customHeight="1">
      <x:c r="B19" s="2" t="s">
        <x:v>58</x:v>
      </x:c>
      <x:c r="C19" s="10">
        <x:v>0.13183</x:v>
      </x:c>
      <x:c r="D19" s="48">
        <x:v>0.11</x:v>
      </x:c>
      <x:c r="E19" s="4"/>
    </x:row>
    <x:row r="20" ht="18" customHeight="1">
      <x:c r="B20" s="2" t="s">
        <x:v>15</x:v>
      </x:c>
      <x:c r="C20" s="10">
        <x:v>0.10894</x:v>
      </x:c>
      <x:c r="D20" s="48">
        <x:v>0.11</x:v>
      </x:c>
      <x:c r="E20" s="4"/>
    </x:row>
    <x:row r="21" ht="18" customHeight="1">
      <x:c r="B21" s="2" t="s">
        <x:v>59</x:v>
      </x:c>
      <x:c r="C21" s="10">
        <x:v>0.1479</x:v>
      </x:c>
      <x:c r="D21" s="48">
        <x:v>0.11</x:v>
      </x:c>
      <x:c r="E21" s="4"/>
    </x:row>
    <x:row r="23" ht="18" customHeight="1">
      <x:c r="B23" s="7" t="s">
        <x:v>33</x:v>
      </x:c>
      <x:c r="C23" s="6" t="str">
        <x:f>C17</x:f>
        <x:v>Valor Atual</x:v>
      </x:c>
      <x:c r="D23" s="6" t="s">
        <x:v>29</x:v>
      </x:c>
      <x:c r="E23" s="6" t="s">
        <x:v>34</x:v>
      </x:c>
    </x:row>
    <x:row r="24" ht="18" customHeight="1">
      <x:c r="B24" s="2" t="s">
        <x:v>16</x:v>
      </x:c>
      <x:c r="C24" s="49">
        <x:v>140.13999999999999</x:v>
      </x:c>
      <x:c r="D24" s="49" t="n">
        <x:f>D18*C12</x:f>
        <x:v>138.16</x:v>
      </x:c>
      <x:c r="E24" s="49" t="n">
        <x:f>D24-C24</x:f>
        <x:v>-1.9799999999999898</x:v>
      </x:c>
    </x:row>
    <x:row r="25" ht="18" customHeight="1">
      <x:c r="B25" s="55" t="s">
        <x:v>58</x:v>
      </x:c>
      <x:c r="C25" s="56">
        <x:v>797.3</x:v>
      </x:c>
      <x:c r="D25" s="56" t="n">
        <x:f>C13*D19</x:f>
        <x:v>665.28</x:v>
      </x:c>
      <x:c r="E25" s="56" t="n">
        <x:f>D25-C25</x:f>
        <x:v>-132.01999999999998</x:v>
      </x:c>
    </x:row>
    <x:row r="26" ht="18" customHeight="1">
      <x:c r="B26" s="57" t="s">
        <x:v>15</x:v>
      </x:c>
      <x:c r="C26" s="56">
        <x:v>389.78</x:v>
      </x:c>
      <x:c r="D26" s="56" t="n">
        <x:f>C14*D20</x:f>
        <x:v>393.58</x:v>
      </x:c>
      <x:c r="E26" s="56" t="n">
        <x:f>D26-C26</x:f>
        <x:v>3.8000000000000114</x:v>
      </x:c>
    </x:row>
    <x:row r="27" ht="18" customHeight="1">
      <x:c r="B27" s="55" t="s">
        <x:v>59</x:v>
      </x:c>
      <x:c r="C27" s="56">
        <x:v>219.92</x:v>
      </x:c>
      <x:c r="D27" s="56" t="n">
        <x:f>IF(C15=0,"n.a.",C15*D21)</x:f>
        <x:v>163.57</x:v>
      </x:c>
      <x:c r="E27" s="56" t="n">
        <x:f>IF(D27="n.a.","n.a.",D27-C27)</x:f>
        <x:v>-56.349999999999994</x:v>
      </x:c>
    </x:row>
    <x:row r="28" ht="18" customHeight="1">
      <x:c r="B28" s="5" t="s">
        <x:v>61</x:v>
      </x:c>
      <x:c r="C28" s="112">
        <x:v>0</x:v>
      </x:c>
      <x:c r="D28" s="53">
        <x:v>0</x:v>
      </x:c>
      <x:c r="E28" s="53" t="n">
        <x:f>IF(D28="n.a.","n.a.",D28-C28)</x:f>
        <x:v>0</x:v>
      </x:c>
    </x:row>
    <x:row r="29" ht="18" customHeight="1">
      <x:c r="B29" s="51" t="s">
        <x:v>35</x:v>
      </x:c>
      <x:c r="C29" s="52" t="n">
        <x:f>SUM(C24:C28)</x:f>
        <x:v>1547.1399999999999</x:v>
      </x:c>
      <x:c r="D29" s="52" t="n">
        <x:f>SUM(D24:D28)</x:f>
        <x:v>1360.59</x:v>
      </x:c>
      <x:c r="E29" s="52" t="n">
        <x:f>SUM(E24:E28)</x:f>
        <x:v>-186.54999999999995</x:v>
      </x:c>
    </x:row>
  </x:sheetData>
  <x:mergeCells>
    <x:mergeCell ref="B1:E1"/>
    <x:mergeCell ref="B3:C3"/>
    <x:mergeCell ref="B4:E5"/>
    <x:mergeCell ref="B6:E6"/>
    <x:mergeCell ref="B7:E7"/>
    <x:mergeCell ref="B2:C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4609375" customWidth="1"/>
    <x:col min="2" max="3" width="11.56640625" customWidth="1"/>
    <x:col min="4" max="4" width="15.46875" customWidth="1"/>
    <x:col min="5" max="7" width="14.52734375" customWidth="1"/>
    <x:col min="9" max="9" width="11.56640625" customWidth="1"/>
    <x:col min="10" max="10" width="13.5859375" customWidth="1"/>
    <x:col min="11" max="11" width="8.609375" customWidth="1"/>
  </x:cols>
  <x:sheetData>
    <x:row r="1" s="1" customFormat="1" ht="40.150001525878906" customHeight="1">
      <x:c r="B1" s="147" t="s">
        <x:v>63</x:v>
      </x:c>
      <x:c r="C1" s="147"/>
      <x:c r="D1" s="147"/>
      <x:c r="E1" s="147"/>
      <x:c r="F1" s="147"/>
      <x:c r="G1" s="147"/>
      <x:c r="H1" s="147"/>
      <x:c r="I1" s="147"/>
      <x:c r="J1" s="147"/>
      <x:c r="K1" s="147"/>
    </x:row>
    <x:row r="2" s="1" customFormat="1" ht="24" customHeight="1">
      <x:c r="B2" s="292" t="str">
        <x:v>‹ MENU · ESCOLHE OUTRO SIMULADOR</x:v>
      </x:c>
      <x:c r="C2" s="292"/>
      <x:c r="D2" s="292"/>
      <x:c r="E2" s="292"/>
      <x:c r="F2" s="292"/>
      <x:c r="G2" s="292"/>
      <x:c r="H2" s="292"/>
      <x:c r="I2" s="292"/>
      <x:c r="J2" s="292"/>
      <x:c r="K2" s="292"/>
    </x:row>
    <x:row r="3" s="1" customFormat="1" ht="25.149999618530273" customHeight="1">
      <x:c r="B3" s="87" t="s">
        <x:v>64</x:v>
      </x:c>
      <x:c r="C3" s="83">
        <x:v>20</x:v>
      </x:c>
      <x:c r="D3" s="84" t="s">
        <x:v>65</x:v>
      </x:c>
      <x:c r="F3" s="82" t="s">
        <x:v>66</x:v>
      </x:c>
    </x:row>
    <x:row r="4" s="1" customFormat="1" ht="25.149999618530273" customHeight="1">
      <x:c r="B4" s="87" t="s">
        <x:v>67</x:v>
      </x:c>
      <x:c r="C4" s="84">
        <x:v>50</x:v>
      </x:c>
      <x:c r="D4" s="84" t="s">
        <x:v>65</x:v>
      </x:c>
    </x:row>
    <x:row r="5" s="1" customFormat="1" ht="25.149999618530273" customHeight="1">
      <x:c r="B5" s="87" t="s">
        <x:v>68</x:v>
      </x:c>
      <x:c r="C5" s="85">
        <x:v>0.15</x:v>
      </x:c>
      <x:c r="D5" s="86"/>
    </x:row>
    <x:row r="6" s="1" customFormat="1" ht="20.25" customHeight="1">
      <x:c r="B6" s="88" t="s">
        <x:v>69</x:v>
      </x:c>
    </x:row>
    <x:row r="7" s="1" customFormat="1" ht="20.25" customHeight="1">
      <x:c r="E7" s="159" t="s">
        <x:v>70</x:v>
      </x:c>
      <x:c r="F7" s="160"/>
      <x:c r="G7" s="151" t="s">
        <x:v>71</x:v>
      </x:c>
    </x:row>
    <x:row r="8" s="1" customFormat="1" ht="20.25" customHeight="1">
      <x:c r="B8" s="64"/>
      <x:c r="C8" s="64"/>
      <x:c r="D8" s="64"/>
      <x:c r="E8" s="70" t="s">
        <x:v>72</x:v>
      </x:c>
      <x:c r="F8" s="71" t="s">
        <x:v>73</x:v>
      </x:c>
      <x:c r="G8" s="152"/>
      <x:c r="I8" s="158" t="s">
        <x:v>74</x:v>
      </x:c>
      <x:c r="J8" s="158"/>
      <x:c r="K8" s="61" t="s">
        <x:v>13</x:v>
      </x:c>
    </x:row>
    <x:row r="9" s="1" customFormat="1" ht="20.25" customHeight="1">
      <x:c r="B9" s="148" t="s">
        <x:v>75</x:v>
      </x:c>
      <x:c r="C9" s="62" t="s">
        <x:v>4</x:v>
      </x:c>
      <x:c r="D9" s="63"/>
      <x:c r="E9" s="72" t="n">
        <x:f>((C$3+C$4)*(1+C$5)/1000+K9)</x:f>
        <x:v>0.1412</x:v>
      </x:c>
      <x:c r="F9" s="73" t="n">
        <x:f>'Tarifa 2026'!D7-0.02</x:f>
        <x:v>0.1499</x:v>
      </x:c>
      <x:c r="G9" s="66" t="str">
        <x:f>IF(E9&lt;F9,"Dinâmica","Fixa")</x:f>
        <x:v>Dinâmica</x:v>
      </x:c>
      <x:c r="I9" s="62" t="s">
        <x:v>4</x:v>
      </x:c>
      <x:c r="J9" s="63"/>
      <x:c r="K9" s="118">
        <x:v>6.0699999999999997E-2</x:v>
      </x:c>
    </x:row>
    <x:row r="10" s="1" customFormat="1" ht="20.25" customHeight="1">
      <x:c r="B10" s="149"/>
      <x:c r="C10" s="153" t="s">
        <x:v>5</x:v>
      </x:c>
      <x:c r="D10" s="67" t="s">
        <x:v>15</x:v>
      </x:c>
      <x:c r="E10" s="74" t="n">
        <x:f t="shared" ref="E10:E14" si="0">((C$3+C$4)*(1+C$5)/1000+K10)</x:f>
        <x:v>0.0963</x:v>
      </x:c>
      <x:c r="F10" s="75" t="n">
        <x:f>'Tarifa 2026'!G9-0.02</x:f>
        <x:v>0.0999</x:v>
      </x:c>
      <x:c r="G10" s="68" t="str">
        <x:f t="shared" ref="G10:G14" si="1">IF(E10&lt;F10,"Dinâmica","Fixa")</x:f>
        <x:v>Dinâmica</x:v>
      </x:c>
      <x:c r="I10" s="155" t="s">
        <x:v>5</x:v>
      </x:c>
      <x:c r="J10" s="60" t="s">
        <x:v>15</x:v>
      </x:c>
      <x:c r="K10" s="119">
        <x:v>1.5800000000000002E-2</x:v>
      </x:c>
    </x:row>
    <x:row r="11" s="1" customFormat="1" ht="20.25" customHeight="1">
      <x:c r="B11" s="149"/>
      <x:c r="C11" s="154"/>
      <x:c r="D11" s="64" t="s">
        <x:v>76</x:v>
      </x:c>
      <x:c r="E11" s="76">
        <x:f t="shared" si="0"/>
        <x:v>0.16400000000000001</x:v>
      </x:c>
      <x:c r="F11" s="77" t="n">
        <x:f>'Tarifa 2026'!F9-0.02</x:f>
        <x:v>0.1799</x:v>
      </x:c>
      <x:c r="G11" s="6" t="str">
        <x:f t="shared" si="1"/>
        <x:v>Dinâmica</x:v>
      </x:c>
      <x:c r="I11" s="156"/>
      <x:c r="J11" s="59" t="s">
        <x:v>76</x:v>
      </x:c>
      <x:c r="K11" s="120">
        <x:v>8.3500000000000005E-2</x:v>
      </x:c>
    </x:row>
    <x:row r="12" s="1" customFormat="1" ht="20.25" customHeight="1">
      <x:c r="B12" s="149"/>
      <x:c r="C12" s="122" t="s">
        <x:v>6</x:v>
      </x:c>
      <x:c r="D12" s="1" t="s">
        <x:v>16</x:v>
      </x:c>
      <x:c r="E12" s="78">
        <x:f t="shared" si="0"/>
        <x:v>0.32619999999999999</x:v>
      </x:c>
      <x:c r="F12" s="79" t="n">
        <x:f>'Tarifa 2026'!I17-0.02</x:f>
        <x:v>0.32989999999999997</x:v>
      </x:c>
      <x:c r="G12" s="65" t="str">
        <x:f t="shared" si="1"/>
        <x:v>Dinâmica</x:v>
      </x:c>
      <x:c r="I12" s="155" t="s">
        <x:v>6</x:v>
      </x:c>
      <x:c r="J12" s="60" t="s">
        <x:v>16</x:v>
      </x:c>
      <x:c r="K12" s="119">
        <x:v>0.2457</x:v>
      </x:c>
    </x:row>
    <x:row r="13" s="1" customFormat="1" ht="20.25" customHeight="1">
      <x:c r="B13" s="149"/>
      <x:c r="C13" s="122"/>
      <x:c r="D13" s="58" t="s">
        <x:v>77</x:v>
      </x:c>
      <x:c r="E13" s="80">
        <x:f t="shared" si="0"/>
        <x:v>0.13290000000000002</x:v>
      </x:c>
      <x:c r="F13" s="81" t="n">
        <x:f>'Tarifa 2026'!J17-0.02</x:f>
        <x:v>0.1499</x:v>
      </x:c>
      <x:c r="G13" s="69" t="str">
        <x:f t="shared" si="1"/>
        <x:v>Dinâmica</x:v>
      </x:c>
      <x:c r="I13" s="157"/>
      <x:c r="J13" s="58" t="s">
        <x:v>77</x:v>
      </x:c>
      <x:c r="K13" s="121">
        <x:v>5.2400000000000002E-2</x:v>
      </x:c>
    </x:row>
    <x:row r="14" s="1" customFormat="1" ht="20.25" customHeight="1">
      <x:c r="B14" s="150"/>
      <x:c r="C14" s="154"/>
      <x:c r="D14" s="64" t="s">
        <x:v>15</x:v>
      </x:c>
      <x:c r="E14" s="76">
        <x:f t="shared" si="0"/>
        <x:v>9.5500000000000002E-2</x:v>
      </x:c>
      <x:c r="F14" s="77" t="n">
        <x:f>'Tarifa 2026'!K17-0.02</x:f>
        <x:v>0.0999</x:v>
      </x:c>
      <x:c r="G14" s="6" t="str">
        <x:f t="shared" si="1"/>
        <x:v>Dinâmica</x:v>
      </x:c>
      <x:c r="I14" s="156"/>
      <x:c r="J14" s="59" t="s">
        <x:v>15</x:v>
      </x:c>
      <x:c r="K14" s="120">
        <x:v>1.4999999999999999E-2</x:v>
      </x:c>
    </x:row>
  </x:sheetData>
  <x:mergeCells>
    <x:mergeCell ref="B1:K1"/>
    <x:mergeCell ref="B9:B14"/>
    <x:mergeCell ref="G7:G8"/>
    <x:mergeCell ref="C10:C11"/>
    <x:mergeCell ref="C12:C14"/>
    <x:mergeCell ref="I10:I11"/>
    <x:mergeCell ref="I12:I14"/>
    <x:mergeCell ref="I8:J8"/>
    <x:mergeCell ref="E7:F7"/>
    <x:mergeCell ref="B2:K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</x:cols>
  <x:sheetData>
    <x:row r="1" ht="38" customHeight="1">
      <x:c r="A1" s="262" t="str">
        <x:v>MEO ENERGIA</x:v>
      </x:c>
      <x:c r="B1" s="262"/>
      <x:c r="C1" s="262"/>
      <x:c r="D1" s="262"/>
    </x:row>
    <x:row r="2" ht="28" customHeight="1">
      <x:c r="A2" s="263" t="str">
        <x:v>SIMULADOR 2026 · ESCOLHE O TIPO DE TARIFA</x:v>
      </x:c>
      <x:c r="B2" s="263"/>
      <x:c r="C2" s="263"/>
      <x:c r="D2" s="263"/>
    </x:row>
    <x:row r="3" ht="34" customHeight="1">
      <x:c r="A3" s="264" t="str">
        <x:v>No telemóvel, abre o separador com o mesmo nome. As células verdes são os valores a preencher.</x:v>
      </x:c>
      <x:c r="B3" s="264"/>
      <x:c r="C3" s="264"/>
      <x:c r="D3" s="264"/>
    </x:row>
    <x:row r="4">
      <x:c r="A4" s="265"/>
      <x:c r="B4" s="265"/>
      <x:c r="C4" s="265"/>
      <x:c r="D4" s="265"/>
    </x:row>
    <x:row r="5" ht="36" customHeight="1">
      <x:c r="A5" s="266" t="str">
        <x:v>TARIFA SIMPLES</x:v>
      </x:c>
      <x:c r="B5" s="267"/>
      <x:c r="C5" s="267"/>
      <x:c r="D5" s="268"/>
    </x:row>
    <x:row r="6" ht="24" customHeight="1">
      <x:c r="A6" s="269" t="str">
        <x:v>Potência, consumo e dias</x:v>
      </x:c>
      <x:c r="B6" s="270"/>
      <x:c r="C6" s="270"/>
      <x:c r="D6" s="271"/>
    </x:row>
    <x:row r="7">
      <x:c r="A7" s="265"/>
      <x:c r="B7" s="265"/>
      <x:c r="C7" s="265"/>
      <x:c r="D7" s="265"/>
    </x:row>
    <x:row r="8" ht="36" customHeight="1">
      <x:c r="A8" s="272" t="str">
        <x:v>BI-HORÁRIO</x:v>
      </x:c>
      <x:c r="B8" s="273"/>
      <x:c r="C8" s="273"/>
      <x:c r="D8" s="274"/>
    </x:row>
    <x:row r="9" ht="24" customHeight="1">
      <x:c r="A9" s="269" t="str">
        <x:v>Consumo vazio e fora de vazio</x:v>
      </x:c>
      <x:c r="B9" s="270"/>
      <x:c r="C9" s="270"/>
      <x:c r="D9" s="271"/>
    </x:row>
    <x:row r="10">
      <x:c r="A10" s="265"/>
      <x:c r="B10" s="265"/>
      <x:c r="C10" s="265"/>
      <x:c r="D10" s="265"/>
    </x:row>
    <x:row r="11" ht="36" customHeight="1">
      <x:c r="A11" s="275" t="str">
        <x:v>TRI-HORÁRIO</x:v>
      </x:c>
      <x:c r="B11" s="276"/>
      <x:c r="C11" s="276"/>
      <x:c r="D11" s="277"/>
    </x:row>
    <x:row r="12" ht="24" customHeight="1">
      <x:c r="A12" s="269" t="str">
        <x:v>Ponta, cheias e vazio</x:v>
      </x:c>
      <x:c r="B12" s="270"/>
      <x:c r="C12" s="270"/>
      <x:c r="D12" s="271"/>
    </x:row>
    <x:row r="13">
      <x:c r="A13" s="265"/>
      <x:c r="B13" s="265"/>
      <x:c r="C13" s="265"/>
      <x:c r="D13" s="265"/>
    </x:row>
    <x:row r="14" ht="36" customHeight="1">
      <x:c r="A14" s="278" t="str">
        <x:v>BTE</x:v>
      </x:c>
      <x:c r="B14" s="279"/>
      <x:c r="C14" s="279"/>
      <x:c r="D14" s="280"/>
    </x:row>
    <x:row r="15" ht="24" customHeight="1">
      <x:c r="A15" s="269" t="str">
        <x:v>Baixa Tensão Especial</x:v>
      </x:c>
      <x:c r="B15" s="270"/>
      <x:c r="C15" s="270"/>
      <x:c r="D15" s="271"/>
    </x:row>
    <x:row r="16">
      <x:c r="A16" s="265"/>
      <x:c r="B16" s="265"/>
      <x:c r="C16" s="265"/>
      <x:c r="D16" s="265"/>
    </x:row>
    <x:row r="17" ht="36" customHeight="1">
      <x:c r="A17" s="281" t="str">
        <x:v>MT</x:v>
      </x:c>
      <x:c r="B17" s="282"/>
      <x:c r="C17" s="282"/>
      <x:c r="D17" s="283"/>
    </x:row>
    <x:row r="18" ht="24" customHeight="1">
      <x:c r="A18" s="269" t="str">
        <x:v>Média Tensão</x:v>
      </x:c>
      <x:c r="B18" s="270"/>
      <x:c r="C18" s="270"/>
      <x:c r="D18" s="271"/>
    </x:row>
    <x:row r="19">
      <x:c r="A19" s="265"/>
      <x:c r="B19" s="265"/>
      <x:c r="C19" s="265"/>
      <x:c r="D19" s="265"/>
    </x:row>
    <x:row r="20" ht="36" customHeight="1">
      <x:c r="A20" s="284" t="str">
        <x:v>TARIFA DINÂMICA</x:v>
      </x:c>
      <x:c r="B20" s="285"/>
      <x:c r="C20" s="285"/>
      <x:c r="D20" s="286"/>
    </x:row>
    <x:row r="21" ht="24" customHeight="1">
      <x:c r="A21" s="269" t="str">
        <x:v>Compara dinâmica com tarifa fixa</x:v>
      </x:c>
      <x:c r="B21" s="270"/>
      <x:c r="C21" s="270"/>
      <x:c r="D21" s="271"/>
    </x:row>
    <x:row r="22">
      <x:c r="A22" s="265"/>
      <x:c r="B22" s="265"/>
      <x:c r="C22" s="265"/>
      <x:c r="D22" s="265"/>
    </x:row>
    <x:row r="23" ht="36" customHeight="1">
      <x:c r="A23" s="287" t="str">
        <x:v>TARIFÁRIO 2026</x:v>
      </x:c>
      <x:c r="B23" s="288"/>
      <x:c r="C23" s="288"/>
      <x:c r="D23" s="289"/>
    </x:row>
    <x:row r="24" ht="24" customHeight="1">
      <x:c r="A24" s="269" t="str">
        <x:v>Tabela-base de preços e descontos</x:v>
      </x:c>
      <x:c r="B24" s="270"/>
      <x:c r="C24" s="270"/>
      <x:c r="D24" s="271"/>
    </x:row>
    <x:row r="25">
      <x:c r="A25" s="265"/>
      <x:c r="B25" s="265"/>
      <x:c r="C25" s="265"/>
      <x:c r="D25" s="265"/>
    </x:row>
  </x:sheetData>
  <x:mergeCells>
    <x:mergeCell ref="A1:D1"/>
    <x:mergeCell ref="A2:D2"/>
    <x:mergeCell ref="A3:D3"/>
    <x:mergeCell ref="A5:D5"/>
    <x:mergeCell ref="A6:D6"/>
    <x:mergeCell ref="A8:D8"/>
    <x:mergeCell ref="A9:D9"/>
    <x:mergeCell ref="A11:D11"/>
    <x:mergeCell ref="A12:D12"/>
    <x:mergeCell ref="A14:D14"/>
    <x:mergeCell ref="A15:D15"/>
    <x:mergeCell ref="A17:D17"/>
    <x:mergeCell ref="A18:D18"/>
    <x:mergeCell ref="A20:D20"/>
    <x:mergeCell ref="A21:D21"/>
    <x:mergeCell ref="A23:D23"/>
    <x:mergeCell ref="A24:D24"/>
  </x:mergeCells>
  <x:pageMargins left="0.7" right="0.7" top="0.75" bottom="0.75" header="0.3" footer="0.3"/>
</x:worksheet>
</file>